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jemim\Documents\models\"/>
    </mc:Choice>
  </mc:AlternateContent>
  <xr:revisionPtr revIDLastSave="0" documentId="13_ncr:1_{A117D7F1-880C-4C65-A917-DB9C7CF571C1}" xr6:coauthVersionLast="47" xr6:coauthVersionMax="47" xr10:uidLastSave="{00000000-0000-0000-0000-000000000000}"/>
  <bookViews>
    <workbookView xWindow="-110" yWindow="-110" windowWidth="19420" windowHeight="10300" firstSheet="1" activeTab="4" xr2:uid="{540756D8-ABA8-4AC6-B4AA-2155F119845C}"/>
  </bookViews>
  <sheets>
    <sheet name="e-commerce sales data" sheetId="1" r:id="rId1"/>
    <sheet name="data cleaning" sheetId="2" r:id="rId2"/>
    <sheet name="sales dashboard" sheetId="3" r:id="rId3"/>
    <sheet name="statistical analysis" sheetId="4" r:id="rId4"/>
    <sheet name="scenario analysis" sheetId="5" r:id="rId5"/>
  </sheets>
  <externalReferences>
    <externalReference r:id="rId6"/>
  </externalReferences>
  <definedNames>
    <definedName name="NativeTimeline_Full_Date">#N/A</definedName>
    <definedName name="Slicer_Product_Category">#N/A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5" l="1"/>
  <c r="C53" i="5" s="1"/>
  <c r="B52" i="5"/>
  <c r="C52" i="5" s="1"/>
  <c r="B51" i="5"/>
  <c r="C51" i="5" s="1"/>
  <c r="B50" i="5"/>
  <c r="C50" i="5" s="1"/>
  <c r="B49" i="5"/>
  <c r="C49" i="5" s="1"/>
  <c r="B48" i="5"/>
  <c r="C48" i="5" s="1"/>
  <c r="B47" i="5"/>
  <c r="C47" i="5" s="1"/>
  <c r="B46" i="5"/>
  <c r="C46" i="5" s="1"/>
  <c r="B45" i="5"/>
  <c r="C45" i="5" s="1"/>
  <c r="B44" i="5"/>
  <c r="C44" i="5" s="1"/>
  <c r="C37" i="5"/>
  <c r="C36" i="5"/>
  <c r="C35" i="5"/>
  <c r="C34" i="5"/>
  <c r="C33" i="5"/>
  <c r="C32" i="5"/>
  <c r="C31" i="5"/>
  <c r="C30" i="5"/>
  <c r="C29" i="5"/>
  <c r="C28" i="5"/>
  <c r="C27" i="5"/>
  <c r="C26" i="5"/>
  <c r="C25" i="5"/>
  <c r="C24" i="5"/>
  <c r="A12" i="5"/>
  <c r="B4" i="5"/>
  <c r="B11" i="4"/>
  <c r="B10" i="4"/>
  <c r="E6" i="4"/>
  <c r="D6" i="4"/>
  <c r="C6" i="4"/>
  <c r="B6" i="4"/>
  <c r="E5" i="4"/>
  <c r="D5" i="4"/>
  <c r="C5" i="4"/>
  <c r="B5" i="4"/>
  <c r="E4" i="4"/>
  <c r="D4" i="4"/>
  <c r="C4" i="4"/>
  <c r="B4" i="4"/>
  <c r="E3" i="4"/>
  <c r="D3" i="4"/>
  <c r="C3" i="4"/>
  <c r="B3" i="4"/>
  <c r="E2" i="4"/>
  <c r="D2" i="4"/>
  <c r="C2" i="4"/>
  <c r="B2" i="4"/>
  <c r="F501" i="2"/>
  <c r="F500" i="2"/>
  <c r="F499" i="2"/>
  <c r="F498" i="2"/>
  <c r="F497" i="2"/>
  <c r="F496" i="2"/>
  <c r="F495" i="2"/>
  <c r="F494" i="2"/>
  <c r="F493" i="2"/>
  <c r="F492" i="2"/>
  <c r="F491" i="2"/>
  <c r="F490" i="2"/>
  <c r="F489" i="2"/>
  <c r="F488" i="2"/>
  <c r="F487" i="2"/>
  <c r="F486" i="2"/>
  <c r="F485" i="2"/>
  <c r="F484" i="2"/>
  <c r="F483" i="2"/>
  <c r="F482" i="2"/>
  <c r="F481" i="2"/>
  <c r="F480" i="2"/>
  <c r="F479" i="2"/>
  <c r="F478" i="2"/>
  <c r="F477" i="2"/>
  <c r="F476" i="2"/>
  <c r="F475" i="2"/>
  <c r="F474" i="2"/>
  <c r="F473" i="2"/>
  <c r="F472" i="2"/>
  <c r="F471" i="2"/>
  <c r="F470" i="2"/>
  <c r="F469" i="2"/>
  <c r="F468" i="2"/>
  <c r="F467" i="2"/>
  <c r="F466" i="2"/>
  <c r="F465" i="2"/>
  <c r="F464" i="2"/>
  <c r="F463" i="2"/>
  <c r="F462" i="2"/>
  <c r="F461" i="2"/>
  <c r="F460" i="2"/>
  <c r="F459" i="2"/>
  <c r="F458" i="2"/>
  <c r="F457" i="2"/>
  <c r="F456" i="2"/>
  <c r="F455" i="2"/>
  <c r="F454" i="2"/>
  <c r="F453" i="2"/>
  <c r="F452" i="2"/>
  <c r="F451" i="2"/>
  <c r="F450" i="2"/>
  <c r="F449" i="2"/>
  <c r="F448" i="2"/>
  <c r="F447" i="2"/>
  <c r="F446" i="2"/>
  <c r="F445" i="2"/>
  <c r="F444" i="2"/>
  <c r="F443" i="2"/>
  <c r="F442" i="2"/>
  <c r="F441" i="2"/>
  <c r="F440" i="2"/>
  <c r="F439" i="2"/>
  <c r="F438" i="2"/>
  <c r="F437" i="2"/>
  <c r="F436" i="2"/>
  <c r="F435" i="2"/>
  <c r="F434" i="2"/>
  <c r="F433" i="2"/>
  <c r="F432" i="2"/>
  <c r="F431" i="2"/>
  <c r="F430" i="2"/>
  <c r="F429" i="2"/>
  <c r="F428" i="2"/>
  <c r="F427" i="2"/>
  <c r="F426" i="2"/>
  <c r="F425" i="2"/>
  <c r="F424" i="2"/>
  <c r="F423" i="2"/>
  <c r="F422" i="2"/>
  <c r="F421" i="2"/>
  <c r="F420" i="2"/>
  <c r="F419" i="2"/>
  <c r="F418" i="2"/>
  <c r="F417" i="2"/>
  <c r="F416" i="2"/>
  <c r="F415" i="2"/>
  <c r="F414" i="2"/>
  <c r="F413" i="2"/>
  <c r="F412" i="2"/>
  <c r="F411" i="2"/>
  <c r="F410" i="2"/>
  <c r="F409" i="2"/>
  <c r="F408" i="2"/>
  <c r="F407" i="2"/>
  <c r="F406" i="2"/>
  <c r="F405" i="2"/>
  <c r="F404" i="2"/>
  <c r="F403" i="2"/>
  <c r="F402" i="2"/>
  <c r="F401" i="2"/>
  <c r="F400" i="2"/>
  <c r="F399" i="2"/>
  <c r="F398" i="2"/>
  <c r="F397" i="2"/>
  <c r="F396" i="2"/>
  <c r="F395" i="2"/>
  <c r="F394" i="2"/>
  <c r="F393" i="2"/>
  <c r="F392" i="2"/>
  <c r="F391" i="2"/>
  <c r="F390" i="2"/>
  <c r="F389" i="2"/>
  <c r="F388" i="2"/>
  <c r="F387" i="2"/>
  <c r="F386" i="2"/>
  <c r="F385" i="2"/>
  <c r="F384" i="2"/>
  <c r="F383" i="2"/>
  <c r="F382" i="2"/>
  <c r="F381" i="2"/>
  <c r="F380" i="2"/>
  <c r="F379" i="2"/>
  <c r="F378" i="2"/>
  <c r="F377" i="2"/>
  <c r="F376" i="2"/>
  <c r="F375" i="2"/>
  <c r="F374" i="2"/>
  <c r="F373" i="2"/>
  <c r="F372" i="2"/>
  <c r="F371" i="2"/>
  <c r="F370" i="2"/>
  <c r="F369" i="2"/>
  <c r="F368" i="2"/>
  <c r="F367" i="2"/>
  <c r="F366" i="2"/>
  <c r="F365" i="2"/>
  <c r="F364" i="2"/>
  <c r="F363" i="2"/>
  <c r="F362" i="2"/>
  <c r="F361" i="2"/>
  <c r="F360" i="2"/>
  <c r="F359" i="2"/>
  <c r="F358" i="2"/>
  <c r="F357" i="2"/>
  <c r="F356" i="2"/>
  <c r="F355" i="2"/>
  <c r="F354" i="2"/>
  <c r="F353" i="2"/>
  <c r="F352" i="2"/>
  <c r="F351" i="2"/>
  <c r="F350" i="2"/>
  <c r="F349" i="2"/>
  <c r="F348" i="2"/>
  <c r="F347" i="2"/>
  <c r="F346" i="2"/>
  <c r="F345" i="2"/>
  <c r="F344" i="2"/>
  <c r="F343" i="2"/>
  <c r="F342" i="2"/>
  <c r="F341" i="2"/>
  <c r="F340" i="2"/>
  <c r="F339" i="2"/>
  <c r="F338" i="2"/>
  <c r="F337" i="2"/>
  <c r="F336" i="2"/>
  <c r="F335" i="2"/>
  <c r="F334" i="2"/>
  <c r="F333" i="2"/>
  <c r="F332" i="2"/>
  <c r="F331" i="2"/>
  <c r="F330" i="2"/>
  <c r="F329" i="2"/>
  <c r="F328" i="2"/>
  <c r="F327" i="2"/>
  <c r="F326" i="2"/>
  <c r="F325" i="2"/>
  <c r="F324" i="2"/>
  <c r="F323" i="2"/>
  <c r="F322" i="2"/>
  <c r="F321" i="2"/>
  <c r="F320" i="2"/>
  <c r="F319" i="2"/>
  <c r="F318" i="2"/>
  <c r="F317" i="2"/>
  <c r="F316" i="2"/>
  <c r="F315" i="2"/>
  <c r="F314" i="2"/>
  <c r="F313" i="2"/>
  <c r="F312" i="2"/>
  <c r="F311" i="2"/>
  <c r="F310" i="2"/>
  <c r="F309" i="2"/>
  <c r="F308" i="2"/>
  <c r="F307" i="2"/>
  <c r="F306" i="2"/>
  <c r="F305" i="2"/>
  <c r="F304" i="2"/>
  <c r="F303" i="2"/>
  <c r="F302" i="2"/>
  <c r="F301" i="2"/>
  <c r="F300" i="2"/>
  <c r="F299" i="2"/>
  <c r="F298" i="2"/>
  <c r="F297" i="2"/>
  <c r="F296" i="2"/>
  <c r="F295" i="2"/>
  <c r="F294" i="2"/>
  <c r="F293" i="2"/>
  <c r="F292" i="2"/>
  <c r="F291" i="2"/>
  <c r="F290" i="2"/>
  <c r="F289" i="2"/>
  <c r="F288" i="2"/>
  <c r="F287" i="2"/>
  <c r="F286" i="2"/>
  <c r="F285" i="2"/>
  <c r="F284" i="2"/>
  <c r="F283" i="2"/>
  <c r="F282" i="2"/>
  <c r="F281" i="2"/>
  <c r="F280" i="2"/>
  <c r="F279" i="2"/>
  <c r="F278" i="2"/>
  <c r="F277" i="2"/>
  <c r="F276" i="2"/>
  <c r="F275" i="2"/>
  <c r="F274" i="2"/>
  <c r="F273" i="2"/>
  <c r="F272" i="2"/>
  <c r="F271" i="2"/>
  <c r="F270" i="2"/>
  <c r="F269" i="2"/>
  <c r="F268" i="2"/>
  <c r="F267" i="2"/>
  <c r="F266" i="2"/>
  <c r="F265" i="2"/>
  <c r="F264" i="2"/>
  <c r="F263" i="2"/>
  <c r="F262" i="2"/>
  <c r="F261" i="2"/>
  <c r="F260" i="2"/>
  <c r="F259" i="2"/>
  <c r="F258" i="2"/>
  <c r="F257" i="2"/>
  <c r="F256" i="2"/>
  <c r="F255" i="2"/>
  <c r="F254" i="2"/>
  <c r="F253" i="2"/>
  <c r="F252" i="2"/>
  <c r="F251" i="2"/>
  <c r="F250" i="2"/>
  <c r="F249" i="2"/>
  <c r="F248" i="2"/>
  <c r="F247" i="2"/>
  <c r="F246" i="2"/>
  <c r="F245" i="2"/>
  <c r="F244" i="2"/>
  <c r="F243" i="2"/>
  <c r="F242" i="2"/>
  <c r="F241" i="2"/>
  <c r="F240" i="2"/>
  <c r="F239" i="2"/>
  <c r="F238" i="2"/>
  <c r="F237" i="2"/>
  <c r="F236" i="2"/>
  <c r="F235" i="2"/>
  <c r="F234" i="2"/>
  <c r="F233" i="2"/>
  <c r="F232" i="2"/>
  <c r="F231" i="2"/>
  <c r="F230" i="2"/>
  <c r="F229" i="2"/>
  <c r="F228" i="2"/>
  <c r="F227" i="2"/>
  <c r="F226" i="2"/>
  <c r="F225" i="2"/>
  <c r="F224" i="2"/>
  <c r="F223" i="2"/>
  <c r="F222" i="2"/>
  <c r="F221" i="2"/>
  <c r="F220" i="2"/>
  <c r="F219" i="2"/>
  <c r="F218" i="2"/>
  <c r="F217" i="2"/>
  <c r="F216" i="2"/>
  <c r="F215" i="2"/>
  <c r="F214" i="2"/>
  <c r="F213" i="2"/>
  <c r="F212" i="2"/>
  <c r="F211" i="2"/>
  <c r="F210" i="2"/>
  <c r="F209" i="2"/>
  <c r="F208" i="2"/>
  <c r="F207" i="2"/>
  <c r="F206" i="2"/>
  <c r="F205" i="2"/>
  <c r="F204" i="2"/>
  <c r="F203" i="2"/>
  <c r="F202" i="2"/>
  <c r="F201" i="2"/>
  <c r="F200" i="2"/>
  <c r="F199" i="2"/>
  <c r="F198" i="2"/>
  <c r="F197" i="2"/>
  <c r="F196" i="2"/>
  <c r="F195" i="2"/>
  <c r="F194" i="2"/>
  <c r="F193" i="2"/>
  <c r="F192" i="2"/>
  <c r="F191" i="2"/>
  <c r="F190" i="2"/>
  <c r="F189" i="2"/>
  <c r="F188" i="2"/>
  <c r="F187" i="2"/>
  <c r="F186" i="2"/>
  <c r="F185" i="2"/>
  <c r="F184" i="2"/>
  <c r="F183" i="2"/>
  <c r="F182" i="2"/>
  <c r="F181" i="2"/>
  <c r="F180" i="2"/>
  <c r="F179" i="2"/>
  <c r="F178" i="2"/>
  <c r="F177" i="2"/>
  <c r="F176" i="2"/>
  <c r="F175" i="2"/>
  <c r="F174" i="2"/>
  <c r="F173" i="2"/>
  <c r="F172" i="2"/>
  <c r="F171" i="2"/>
  <c r="F170" i="2"/>
  <c r="F169" i="2"/>
  <c r="F168" i="2"/>
  <c r="F167" i="2"/>
  <c r="F166" i="2"/>
  <c r="F165" i="2"/>
  <c r="F164" i="2"/>
  <c r="F163" i="2"/>
  <c r="F162" i="2"/>
  <c r="F161" i="2"/>
  <c r="F160" i="2"/>
  <c r="F159" i="2"/>
  <c r="F158" i="2"/>
  <c r="F157" i="2"/>
  <c r="F156" i="2"/>
  <c r="F155" i="2"/>
  <c r="F154" i="2"/>
  <c r="F153" i="2"/>
  <c r="F152" i="2"/>
  <c r="F151" i="2"/>
  <c r="F150" i="2"/>
  <c r="F149" i="2"/>
  <c r="F148" i="2"/>
  <c r="F147" i="2"/>
  <c r="F146" i="2"/>
  <c r="F145" i="2"/>
  <c r="F144" i="2"/>
  <c r="F143" i="2"/>
  <c r="F142" i="2"/>
  <c r="F141" i="2"/>
  <c r="F140" i="2"/>
  <c r="F139" i="2"/>
  <c r="F138" i="2"/>
  <c r="F137" i="2"/>
  <c r="F136" i="2"/>
  <c r="F135" i="2"/>
  <c r="F134" i="2"/>
  <c r="F133" i="2"/>
  <c r="F132" i="2"/>
  <c r="F131" i="2"/>
  <c r="F130" i="2"/>
  <c r="F129" i="2"/>
  <c r="F128" i="2"/>
  <c r="F127" i="2"/>
  <c r="F126" i="2"/>
  <c r="F125" i="2"/>
  <c r="F124" i="2"/>
  <c r="F123" i="2"/>
  <c r="F122" i="2"/>
  <c r="F121" i="2"/>
  <c r="F120" i="2"/>
  <c r="F119" i="2"/>
  <c r="F118" i="2"/>
  <c r="F117" i="2"/>
  <c r="F116" i="2"/>
  <c r="F115" i="2"/>
  <c r="F114" i="2"/>
  <c r="F113" i="2"/>
  <c r="F112" i="2"/>
  <c r="F111" i="2"/>
  <c r="F110" i="2"/>
  <c r="F109" i="2"/>
  <c r="F108" i="2"/>
  <c r="F107" i="2"/>
  <c r="F106" i="2"/>
  <c r="F105" i="2"/>
  <c r="F104" i="2"/>
  <c r="F103" i="2"/>
  <c r="F102" i="2"/>
  <c r="F101" i="2"/>
  <c r="F100" i="2"/>
  <c r="F99" i="2"/>
  <c r="F98" i="2"/>
  <c r="F97" i="2"/>
  <c r="F96" i="2"/>
  <c r="F95" i="2"/>
  <c r="F94" i="2"/>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F4" i="2"/>
  <c r="F3" i="2"/>
  <c r="Z2" i="2" a="1"/>
  <c r="Z2" i="2" s="1"/>
  <c r="Y2" i="2" a="1"/>
  <c r="Y2" i="2" s="1"/>
  <c r="X2" i="2" a="1"/>
  <c r="X2" i="2" s="1"/>
  <c r="W2" i="2" a="1"/>
  <c r="W2" i="2" s="1"/>
  <c r="V2" i="2" a="1"/>
  <c r="V2" i="2" s="1"/>
  <c r="U2" i="2" a="1"/>
  <c r="U2" i="2" s="1"/>
  <c r="T2" i="2" a="1"/>
  <c r="T2" i="2" s="1"/>
  <c r="F2" i="2"/>
  <c r="R501" i="1"/>
  <c r="Q501" i="1"/>
  <c r="P501" i="1" a="1"/>
  <c r="P501" i="1" s="1"/>
  <c r="R500" i="1"/>
  <c r="P500" i="1"/>
  <c r="Q500" i="1" s="1"/>
  <c r="P500" i="1" a="1"/>
  <c r="R499" i="1"/>
  <c r="Q499" i="1"/>
  <c r="P499" i="1" a="1"/>
  <c r="P499" i="1" s="1"/>
  <c r="R498" i="1"/>
  <c r="P498" i="1" a="1"/>
  <c r="P498" i="1" s="1"/>
  <c r="Q498" i="1" s="1"/>
  <c r="R497" i="1"/>
  <c r="P497" i="1" a="1"/>
  <c r="P497" i="1" s="1"/>
  <c r="Q497" i="1" s="1"/>
  <c r="R496" i="1"/>
  <c r="P496" i="1" a="1"/>
  <c r="P496" i="1" s="1"/>
  <c r="Q496" i="1" s="1"/>
  <c r="R495" i="1"/>
  <c r="P495" i="1" a="1"/>
  <c r="P495" i="1" s="1"/>
  <c r="Q495" i="1" s="1"/>
  <c r="R494" i="1"/>
  <c r="P494" i="1" a="1"/>
  <c r="P494" i="1" s="1"/>
  <c r="Q494" i="1" s="1"/>
  <c r="R493" i="1"/>
  <c r="Q493" i="1"/>
  <c r="P493" i="1" a="1"/>
  <c r="P493" i="1" s="1"/>
  <c r="R492" i="1"/>
  <c r="P492" i="1" a="1"/>
  <c r="P492" i="1" s="1"/>
  <c r="Q492" i="1" s="1"/>
  <c r="R491" i="1"/>
  <c r="Q491" i="1"/>
  <c r="P491" i="1" a="1"/>
  <c r="P491" i="1" s="1"/>
  <c r="R490" i="1"/>
  <c r="P490" i="1" a="1"/>
  <c r="P490" i="1" s="1"/>
  <c r="Q490" i="1" s="1"/>
  <c r="R489" i="1"/>
  <c r="P489" i="1" a="1"/>
  <c r="P489" i="1" s="1"/>
  <c r="Q489" i="1" s="1"/>
  <c r="R488" i="1"/>
  <c r="P488" i="1" a="1"/>
  <c r="P488" i="1" s="1"/>
  <c r="Q488" i="1" s="1"/>
  <c r="R487" i="1"/>
  <c r="Q487" i="1"/>
  <c r="P487" i="1" a="1"/>
  <c r="P487" i="1" s="1"/>
  <c r="R486" i="1"/>
  <c r="P486" i="1" a="1"/>
  <c r="P486" i="1" s="1"/>
  <c r="Q486" i="1" s="1"/>
  <c r="R485" i="1"/>
  <c r="Q485" i="1"/>
  <c r="P485" i="1" a="1"/>
  <c r="P485" i="1" s="1"/>
  <c r="R484" i="1"/>
  <c r="P484" i="1" a="1"/>
  <c r="P484" i="1" s="1"/>
  <c r="Q484" i="1" s="1"/>
  <c r="R483" i="1"/>
  <c r="Q483" i="1"/>
  <c r="P483" i="1" a="1"/>
  <c r="P483" i="1" s="1"/>
  <c r="R482" i="1"/>
  <c r="P482" i="1" a="1"/>
  <c r="P482" i="1" s="1"/>
  <c r="Q482" i="1" s="1"/>
  <c r="R481" i="1"/>
  <c r="P481" i="1" a="1"/>
  <c r="P481" i="1" s="1"/>
  <c r="Q481" i="1" s="1"/>
  <c r="R480" i="1"/>
  <c r="P480" i="1" a="1"/>
  <c r="P480" i="1" s="1"/>
  <c r="Q480" i="1" s="1"/>
  <c r="R479" i="1"/>
  <c r="Q479" i="1"/>
  <c r="P479" i="1" a="1"/>
  <c r="P479" i="1" s="1"/>
  <c r="R478" i="1"/>
  <c r="P478" i="1" a="1"/>
  <c r="P478" i="1" s="1"/>
  <c r="Q478" i="1" s="1"/>
  <c r="R477" i="1"/>
  <c r="Q477" i="1"/>
  <c r="P477" i="1" a="1"/>
  <c r="P477" i="1" s="1"/>
  <c r="R476" i="1"/>
  <c r="P476" i="1" a="1"/>
  <c r="P476" i="1" s="1"/>
  <c r="Q476" i="1" s="1"/>
  <c r="R475" i="1"/>
  <c r="Q475" i="1"/>
  <c r="P475" i="1" a="1"/>
  <c r="P475" i="1" s="1"/>
  <c r="R474" i="1"/>
  <c r="P474" i="1" a="1"/>
  <c r="P474" i="1" s="1"/>
  <c r="Q474" i="1" s="1"/>
  <c r="R473" i="1"/>
  <c r="P473" i="1" a="1"/>
  <c r="P473" i="1" s="1"/>
  <c r="Q473" i="1" s="1"/>
  <c r="R472" i="1"/>
  <c r="P472" i="1" a="1"/>
  <c r="P472" i="1" s="1"/>
  <c r="Q472" i="1" s="1"/>
  <c r="R471" i="1"/>
  <c r="Q471" i="1"/>
  <c r="P471" i="1" a="1"/>
  <c r="P471" i="1" s="1"/>
  <c r="R470" i="1"/>
  <c r="P470" i="1" a="1"/>
  <c r="P470" i="1" s="1"/>
  <c r="Q470" i="1" s="1"/>
  <c r="R469" i="1"/>
  <c r="Q469" i="1"/>
  <c r="P469" i="1" a="1"/>
  <c r="P469" i="1" s="1"/>
  <c r="R468" i="1"/>
  <c r="P468" i="1" a="1"/>
  <c r="P468" i="1" s="1"/>
  <c r="Q468" i="1" s="1"/>
  <c r="R467" i="1"/>
  <c r="Q467" i="1"/>
  <c r="P467" i="1" a="1"/>
  <c r="P467" i="1" s="1"/>
  <c r="R466" i="1"/>
  <c r="P466" i="1" a="1"/>
  <c r="P466" i="1" s="1"/>
  <c r="Q466" i="1" s="1"/>
  <c r="R465" i="1"/>
  <c r="P465" i="1" a="1"/>
  <c r="P465" i="1" s="1"/>
  <c r="Q465" i="1" s="1"/>
  <c r="R464" i="1"/>
  <c r="P464" i="1" a="1"/>
  <c r="P464" i="1" s="1"/>
  <c r="Q464" i="1" s="1"/>
  <c r="R463" i="1"/>
  <c r="Q463" i="1"/>
  <c r="P463" i="1" a="1"/>
  <c r="P463" i="1" s="1"/>
  <c r="R462" i="1"/>
  <c r="P462" i="1" a="1"/>
  <c r="P462" i="1" s="1"/>
  <c r="Q462" i="1" s="1"/>
  <c r="R461" i="1"/>
  <c r="Q461" i="1"/>
  <c r="P461" i="1" a="1"/>
  <c r="P461" i="1" s="1"/>
  <c r="R460" i="1"/>
  <c r="P460" i="1" a="1"/>
  <c r="P460" i="1" s="1"/>
  <c r="Q460" i="1" s="1"/>
  <c r="R459" i="1"/>
  <c r="Q459" i="1"/>
  <c r="P459" i="1" a="1"/>
  <c r="P459" i="1" s="1"/>
  <c r="R458" i="1"/>
  <c r="P458" i="1" a="1"/>
  <c r="P458" i="1" s="1"/>
  <c r="Q458" i="1" s="1"/>
  <c r="R457" i="1"/>
  <c r="P457" i="1" a="1"/>
  <c r="P457" i="1" s="1"/>
  <c r="Q457" i="1" s="1"/>
  <c r="R456" i="1"/>
  <c r="P456" i="1" a="1"/>
  <c r="P456" i="1" s="1"/>
  <c r="Q456" i="1" s="1"/>
  <c r="R455" i="1"/>
  <c r="Q455" i="1"/>
  <c r="P455" i="1" a="1"/>
  <c r="P455" i="1" s="1"/>
  <c r="R454" i="1"/>
  <c r="P454" i="1" a="1"/>
  <c r="P454" i="1" s="1"/>
  <c r="Q454" i="1" s="1"/>
  <c r="R453" i="1"/>
  <c r="Q453" i="1"/>
  <c r="P453" i="1" a="1"/>
  <c r="P453" i="1" s="1"/>
  <c r="R452" i="1"/>
  <c r="P452" i="1" a="1"/>
  <c r="P452" i="1" s="1"/>
  <c r="Q452" i="1" s="1"/>
  <c r="R451" i="1"/>
  <c r="Q451" i="1"/>
  <c r="P451" i="1" a="1"/>
  <c r="P451" i="1" s="1"/>
  <c r="R450" i="1"/>
  <c r="P450" i="1" a="1"/>
  <c r="P450" i="1" s="1"/>
  <c r="Q450" i="1" s="1"/>
  <c r="R449" i="1"/>
  <c r="P449" i="1" a="1"/>
  <c r="P449" i="1" s="1"/>
  <c r="Q449" i="1" s="1"/>
  <c r="R448" i="1"/>
  <c r="P448" i="1" a="1"/>
  <c r="P448" i="1" s="1"/>
  <c r="Q448" i="1" s="1"/>
  <c r="R447" i="1"/>
  <c r="Q447" i="1"/>
  <c r="P447" i="1" a="1"/>
  <c r="P447" i="1" s="1"/>
  <c r="R446" i="1"/>
  <c r="P446" i="1" a="1"/>
  <c r="P446" i="1" s="1"/>
  <c r="Q446" i="1" s="1"/>
  <c r="R445" i="1"/>
  <c r="Q445" i="1"/>
  <c r="P445" i="1" a="1"/>
  <c r="P445" i="1" s="1"/>
  <c r="R444" i="1"/>
  <c r="P444" i="1" a="1"/>
  <c r="P444" i="1" s="1"/>
  <c r="Q444" i="1" s="1"/>
  <c r="R443" i="1"/>
  <c r="Q443" i="1"/>
  <c r="P443" i="1" a="1"/>
  <c r="P443" i="1" s="1"/>
  <c r="R442" i="1"/>
  <c r="P442" i="1" a="1"/>
  <c r="P442" i="1" s="1"/>
  <c r="Q442" i="1" s="1"/>
  <c r="R441" i="1"/>
  <c r="P441" i="1" a="1"/>
  <c r="P441" i="1" s="1"/>
  <c r="Q441" i="1" s="1"/>
  <c r="R440" i="1"/>
  <c r="P440" i="1" a="1"/>
  <c r="P440" i="1" s="1"/>
  <c r="Q440" i="1" s="1"/>
  <c r="R439" i="1"/>
  <c r="Q439" i="1"/>
  <c r="P439" i="1" a="1"/>
  <c r="P439" i="1" s="1"/>
  <c r="R438" i="1"/>
  <c r="P438" i="1" a="1"/>
  <c r="P438" i="1" s="1"/>
  <c r="Q438" i="1" s="1"/>
  <c r="R437" i="1"/>
  <c r="Q437" i="1"/>
  <c r="P437" i="1" a="1"/>
  <c r="P437" i="1" s="1"/>
  <c r="R436" i="1"/>
  <c r="P436" i="1" a="1"/>
  <c r="P436" i="1" s="1"/>
  <c r="Q436" i="1" s="1"/>
  <c r="R435" i="1"/>
  <c r="Q435" i="1"/>
  <c r="P435" i="1" a="1"/>
  <c r="P435" i="1" s="1"/>
  <c r="R434" i="1"/>
  <c r="P434" i="1" a="1"/>
  <c r="P434" i="1" s="1"/>
  <c r="Q434" i="1" s="1"/>
  <c r="R433" i="1"/>
  <c r="Q433" i="1"/>
  <c r="P433" i="1" a="1"/>
  <c r="P433" i="1" s="1"/>
  <c r="R432" i="1"/>
  <c r="P432" i="1" a="1"/>
  <c r="P432" i="1" s="1"/>
  <c r="Q432" i="1" s="1"/>
  <c r="R431" i="1"/>
  <c r="Q431" i="1"/>
  <c r="P431" i="1" a="1"/>
  <c r="P431" i="1" s="1"/>
  <c r="R430" i="1"/>
  <c r="P430" i="1" a="1"/>
  <c r="P430" i="1" s="1"/>
  <c r="Q430" i="1" s="1"/>
  <c r="R429" i="1"/>
  <c r="Q429" i="1"/>
  <c r="P429" i="1" a="1"/>
  <c r="P429" i="1" s="1"/>
  <c r="R428" i="1"/>
  <c r="P428" i="1" a="1"/>
  <c r="P428" i="1" s="1"/>
  <c r="Q428" i="1" s="1"/>
  <c r="R427" i="1"/>
  <c r="Q427" i="1"/>
  <c r="P427" i="1" a="1"/>
  <c r="P427" i="1" s="1"/>
  <c r="R426" i="1"/>
  <c r="P426" i="1" a="1"/>
  <c r="P426" i="1" s="1"/>
  <c r="Q426" i="1" s="1"/>
  <c r="R425" i="1"/>
  <c r="Q425" i="1"/>
  <c r="P425" i="1" a="1"/>
  <c r="P425" i="1" s="1"/>
  <c r="R424" i="1"/>
  <c r="P424" i="1" a="1"/>
  <c r="P424" i="1" s="1"/>
  <c r="Q424" i="1" s="1"/>
  <c r="R423" i="1"/>
  <c r="Q423" i="1"/>
  <c r="P423" i="1" a="1"/>
  <c r="P423" i="1" s="1"/>
  <c r="R422" i="1"/>
  <c r="P422" i="1" a="1"/>
  <c r="P422" i="1" s="1"/>
  <c r="Q422" i="1" s="1"/>
  <c r="R421" i="1"/>
  <c r="Q421" i="1"/>
  <c r="P421" i="1" a="1"/>
  <c r="P421" i="1" s="1"/>
  <c r="R420" i="1"/>
  <c r="P420" i="1" a="1"/>
  <c r="P420" i="1" s="1"/>
  <c r="Q420" i="1" s="1"/>
  <c r="R419" i="1"/>
  <c r="Q419" i="1"/>
  <c r="P419" i="1" a="1"/>
  <c r="P419" i="1" s="1"/>
  <c r="R418" i="1"/>
  <c r="P418" i="1" a="1"/>
  <c r="P418" i="1" s="1"/>
  <c r="Q418" i="1" s="1"/>
  <c r="R417" i="1"/>
  <c r="Q417" i="1"/>
  <c r="P417" i="1" a="1"/>
  <c r="P417" i="1" s="1"/>
  <c r="R416" i="1"/>
  <c r="P416" i="1"/>
  <c r="Q416" i="1" s="1"/>
  <c r="P416" i="1" a="1"/>
  <c r="R415" i="1"/>
  <c r="P415" i="1" a="1"/>
  <c r="P415" i="1" s="1"/>
  <c r="Q415" i="1" s="1"/>
  <c r="R414" i="1"/>
  <c r="P414" i="1" a="1"/>
  <c r="P414" i="1" s="1"/>
  <c r="Q414" i="1" s="1"/>
  <c r="R413" i="1"/>
  <c r="Q413" i="1"/>
  <c r="P413" i="1" a="1"/>
  <c r="P413" i="1" s="1"/>
  <c r="R412" i="1"/>
  <c r="P412" i="1"/>
  <c r="Q412" i="1" s="1"/>
  <c r="P412" i="1" a="1"/>
  <c r="R411" i="1"/>
  <c r="Q411" i="1"/>
  <c r="P411" i="1" a="1"/>
  <c r="P411" i="1" s="1"/>
  <c r="R410" i="1"/>
  <c r="P410" i="1" a="1"/>
  <c r="P410" i="1" s="1"/>
  <c r="Q410" i="1" s="1"/>
  <c r="R409" i="1"/>
  <c r="P409" i="1" a="1"/>
  <c r="P409" i="1" s="1"/>
  <c r="Q409" i="1" s="1"/>
  <c r="R408" i="1"/>
  <c r="P408" i="1"/>
  <c r="Q408" i="1" s="1"/>
  <c r="P408" i="1" a="1"/>
  <c r="R407" i="1"/>
  <c r="P407" i="1" a="1"/>
  <c r="P407" i="1" s="1"/>
  <c r="Q407" i="1" s="1"/>
  <c r="R406" i="1"/>
  <c r="P406" i="1" a="1"/>
  <c r="P406" i="1" s="1"/>
  <c r="Q406" i="1" s="1"/>
  <c r="R405" i="1"/>
  <c r="Q405" i="1"/>
  <c r="P405" i="1" a="1"/>
  <c r="P405" i="1" s="1"/>
  <c r="R404" i="1"/>
  <c r="Q404" i="1"/>
  <c r="P404" i="1"/>
  <c r="P404" i="1" a="1"/>
  <c r="R403" i="1"/>
  <c r="P403" i="1" a="1"/>
  <c r="P403" i="1" s="1"/>
  <c r="Q403" i="1" s="1"/>
  <c r="R402" i="1"/>
  <c r="Q402" i="1"/>
  <c r="P402" i="1"/>
  <c r="P402" i="1" a="1"/>
  <c r="R401" i="1"/>
  <c r="Q401" i="1"/>
  <c r="P401" i="1" a="1"/>
  <c r="P401" i="1" s="1"/>
  <c r="R400" i="1"/>
  <c r="P400" i="1" a="1"/>
  <c r="P400" i="1" s="1"/>
  <c r="Q400" i="1" s="1"/>
  <c r="R399" i="1"/>
  <c r="P399" i="1" a="1"/>
  <c r="P399" i="1" s="1"/>
  <c r="Q399" i="1" s="1"/>
  <c r="R398" i="1"/>
  <c r="Q398" i="1"/>
  <c r="P398" i="1" a="1"/>
  <c r="P398" i="1" s="1"/>
  <c r="R397" i="1"/>
  <c r="Q397" i="1"/>
  <c r="P397" i="1" a="1"/>
  <c r="P397" i="1" s="1"/>
  <c r="R396" i="1"/>
  <c r="P396" i="1"/>
  <c r="Q396" i="1" s="1"/>
  <c r="P396" i="1" a="1"/>
  <c r="R395" i="1"/>
  <c r="Q395" i="1"/>
  <c r="P395" i="1" a="1"/>
  <c r="P395" i="1" s="1"/>
  <c r="R394" i="1"/>
  <c r="P394" i="1" a="1"/>
  <c r="P394" i="1" s="1"/>
  <c r="Q394" i="1" s="1"/>
  <c r="R393" i="1"/>
  <c r="P393" i="1" a="1"/>
  <c r="P393" i="1" s="1"/>
  <c r="Q393" i="1" s="1"/>
  <c r="R392" i="1"/>
  <c r="P392" i="1"/>
  <c r="Q392" i="1" s="1"/>
  <c r="P392" i="1" a="1"/>
  <c r="R391" i="1"/>
  <c r="P391" i="1" a="1"/>
  <c r="P391" i="1" s="1"/>
  <c r="Q391" i="1" s="1"/>
  <c r="R390" i="1"/>
  <c r="P390" i="1" a="1"/>
  <c r="P390" i="1" s="1"/>
  <c r="Q390" i="1" s="1"/>
  <c r="R389" i="1"/>
  <c r="Q389" i="1"/>
  <c r="P389" i="1" a="1"/>
  <c r="P389" i="1" s="1"/>
  <c r="R388" i="1"/>
  <c r="Q388" i="1"/>
  <c r="P388" i="1"/>
  <c r="P388" i="1" a="1"/>
  <c r="R387" i="1"/>
  <c r="P387" i="1" a="1"/>
  <c r="P387" i="1" s="1"/>
  <c r="Q387" i="1" s="1"/>
  <c r="R386" i="1"/>
  <c r="Q386" i="1"/>
  <c r="P386" i="1"/>
  <c r="P386" i="1" a="1"/>
  <c r="R385" i="1"/>
  <c r="Q385" i="1"/>
  <c r="P385" i="1" a="1"/>
  <c r="P385" i="1" s="1"/>
  <c r="R384" i="1"/>
  <c r="P384" i="1" a="1"/>
  <c r="P384" i="1" s="1"/>
  <c r="Q384" i="1" s="1"/>
  <c r="R383" i="1"/>
  <c r="P383" i="1" a="1"/>
  <c r="P383" i="1" s="1"/>
  <c r="Q383" i="1" s="1"/>
  <c r="R382" i="1"/>
  <c r="Q382" i="1"/>
  <c r="P382" i="1" a="1"/>
  <c r="P382" i="1" s="1"/>
  <c r="R381" i="1"/>
  <c r="Q381" i="1"/>
  <c r="P381" i="1" a="1"/>
  <c r="P381" i="1" s="1"/>
  <c r="R380" i="1"/>
  <c r="P380" i="1"/>
  <c r="Q380" i="1" s="1"/>
  <c r="P380" i="1" a="1"/>
  <c r="R379" i="1"/>
  <c r="Q379" i="1"/>
  <c r="P379" i="1" a="1"/>
  <c r="P379" i="1" s="1"/>
  <c r="R378" i="1"/>
  <c r="P378" i="1" a="1"/>
  <c r="P378" i="1" s="1"/>
  <c r="Q378" i="1" s="1"/>
  <c r="R377" i="1"/>
  <c r="P377" i="1" a="1"/>
  <c r="P377" i="1" s="1"/>
  <c r="Q377" i="1" s="1"/>
  <c r="R376" i="1"/>
  <c r="P376" i="1"/>
  <c r="Q376" i="1" s="1"/>
  <c r="P376" i="1" a="1"/>
  <c r="R375" i="1"/>
  <c r="P375" i="1" a="1"/>
  <c r="P375" i="1" s="1"/>
  <c r="Q375" i="1" s="1"/>
  <c r="R374" i="1"/>
  <c r="P374" i="1" a="1"/>
  <c r="P374" i="1" s="1"/>
  <c r="Q374" i="1" s="1"/>
  <c r="R373" i="1"/>
  <c r="Q373" i="1"/>
  <c r="P373" i="1" a="1"/>
  <c r="P373" i="1" s="1"/>
  <c r="R372" i="1"/>
  <c r="Q372" i="1"/>
  <c r="P372" i="1"/>
  <c r="P372" i="1" a="1"/>
  <c r="R371" i="1"/>
  <c r="P371" i="1" a="1"/>
  <c r="P371" i="1" s="1"/>
  <c r="Q371" i="1" s="1"/>
  <c r="R370" i="1"/>
  <c r="P370" i="1"/>
  <c r="Q370" i="1" s="1"/>
  <c r="P370" i="1" a="1"/>
  <c r="R369" i="1"/>
  <c r="Q369" i="1"/>
  <c r="P369" i="1" a="1"/>
  <c r="P369" i="1" s="1"/>
  <c r="R368" i="1"/>
  <c r="P368" i="1" a="1"/>
  <c r="P368" i="1" s="1"/>
  <c r="Q368" i="1" s="1"/>
  <c r="R367" i="1"/>
  <c r="P367" i="1" a="1"/>
  <c r="P367" i="1" s="1"/>
  <c r="Q367" i="1" s="1"/>
  <c r="R366" i="1"/>
  <c r="P366" i="1" a="1"/>
  <c r="P366" i="1" s="1"/>
  <c r="Q366" i="1" s="1"/>
  <c r="R365" i="1"/>
  <c r="Q365" i="1"/>
  <c r="P365" i="1" a="1"/>
  <c r="P365" i="1" s="1"/>
  <c r="R364" i="1"/>
  <c r="P364" i="1"/>
  <c r="Q364" i="1" s="1"/>
  <c r="P364" i="1" a="1"/>
  <c r="R363" i="1"/>
  <c r="Q363" i="1"/>
  <c r="P363" i="1" a="1"/>
  <c r="P363" i="1" s="1"/>
  <c r="R362" i="1"/>
  <c r="P362" i="1" a="1"/>
  <c r="P362" i="1" s="1"/>
  <c r="Q362" i="1" s="1"/>
  <c r="R361" i="1"/>
  <c r="P361" i="1" a="1"/>
  <c r="P361" i="1" s="1"/>
  <c r="Q361" i="1" s="1"/>
  <c r="R360" i="1"/>
  <c r="P360" i="1" a="1"/>
  <c r="P360" i="1" s="1"/>
  <c r="Q360" i="1" s="1"/>
  <c r="R359" i="1"/>
  <c r="P359" i="1" a="1"/>
  <c r="P359" i="1" s="1"/>
  <c r="Q359" i="1" s="1"/>
  <c r="R358" i="1"/>
  <c r="P358" i="1" a="1"/>
  <c r="P358" i="1" s="1"/>
  <c r="Q358" i="1" s="1"/>
  <c r="R357" i="1"/>
  <c r="Q357" i="1"/>
  <c r="P357" i="1" a="1"/>
  <c r="P357" i="1" s="1"/>
  <c r="R356" i="1"/>
  <c r="Q356" i="1"/>
  <c r="P356" i="1"/>
  <c r="P356" i="1" a="1"/>
  <c r="R355" i="1"/>
  <c r="P355" i="1" a="1"/>
  <c r="P355" i="1" s="1"/>
  <c r="Q355" i="1" s="1"/>
  <c r="R354" i="1"/>
  <c r="P354" i="1"/>
  <c r="Q354" i="1" s="1"/>
  <c r="P354" i="1" a="1"/>
  <c r="R353" i="1"/>
  <c r="Q353" i="1"/>
  <c r="P353" i="1" a="1"/>
  <c r="P353" i="1" s="1"/>
  <c r="R352" i="1"/>
  <c r="P352" i="1" a="1"/>
  <c r="P352" i="1" s="1"/>
  <c r="Q352" i="1" s="1"/>
  <c r="R351" i="1"/>
  <c r="P351" i="1" a="1"/>
  <c r="P351" i="1" s="1"/>
  <c r="Q351" i="1" s="1"/>
  <c r="R350" i="1"/>
  <c r="Q350" i="1"/>
  <c r="P350" i="1" a="1"/>
  <c r="P350" i="1" s="1"/>
  <c r="R349" i="1"/>
  <c r="Q349" i="1"/>
  <c r="P349" i="1" a="1"/>
  <c r="P349" i="1" s="1"/>
  <c r="R348" i="1"/>
  <c r="P348" i="1"/>
  <c r="Q348" i="1" s="1"/>
  <c r="P348" i="1" a="1"/>
  <c r="R347" i="1"/>
  <c r="Q347" i="1"/>
  <c r="P347" i="1" a="1"/>
  <c r="P347" i="1" s="1"/>
  <c r="R346" i="1"/>
  <c r="P346" i="1" a="1"/>
  <c r="P346" i="1" s="1"/>
  <c r="Q346" i="1" s="1"/>
  <c r="R345" i="1"/>
  <c r="P345" i="1" a="1"/>
  <c r="P345" i="1" s="1"/>
  <c r="Q345" i="1" s="1"/>
  <c r="R344" i="1"/>
  <c r="P344" i="1" a="1"/>
  <c r="P344" i="1" s="1"/>
  <c r="Q344" i="1" s="1"/>
  <c r="R343" i="1"/>
  <c r="P343" i="1" a="1"/>
  <c r="P343" i="1" s="1"/>
  <c r="Q343" i="1" s="1"/>
  <c r="R342" i="1"/>
  <c r="P342" i="1" a="1"/>
  <c r="P342" i="1" s="1"/>
  <c r="Q342" i="1" s="1"/>
  <c r="R341" i="1"/>
  <c r="Q341" i="1"/>
  <c r="P341" i="1" a="1"/>
  <c r="P341" i="1" s="1"/>
  <c r="R340" i="1"/>
  <c r="Q340" i="1"/>
  <c r="P340" i="1"/>
  <c r="P340" i="1" a="1"/>
  <c r="R339" i="1"/>
  <c r="P339" i="1" a="1"/>
  <c r="P339" i="1" s="1"/>
  <c r="Q339" i="1" s="1"/>
  <c r="R338" i="1"/>
  <c r="P338" i="1"/>
  <c r="Q338" i="1" s="1"/>
  <c r="P338" i="1" a="1"/>
  <c r="R337" i="1"/>
  <c r="P337" i="1" a="1"/>
  <c r="P337" i="1" s="1"/>
  <c r="Q337" i="1" s="1"/>
  <c r="R336" i="1"/>
  <c r="P336" i="1" a="1"/>
  <c r="P336" i="1" s="1"/>
  <c r="Q336" i="1" s="1"/>
  <c r="R335" i="1"/>
  <c r="P335" i="1" a="1"/>
  <c r="P335" i="1" s="1"/>
  <c r="Q335" i="1" s="1"/>
  <c r="R334" i="1"/>
  <c r="Q334" i="1"/>
  <c r="P334" i="1" a="1"/>
  <c r="P334" i="1" s="1"/>
  <c r="R333" i="1"/>
  <c r="Q333" i="1"/>
  <c r="P333" i="1" a="1"/>
  <c r="P333" i="1" s="1"/>
  <c r="R332" i="1"/>
  <c r="P332" i="1"/>
  <c r="Q332" i="1" s="1"/>
  <c r="P332" i="1" a="1"/>
  <c r="R331" i="1"/>
  <c r="Q331" i="1"/>
  <c r="P331" i="1"/>
  <c r="P331" i="1" a="1"/>
  <c r="R330" i="1"/>
  <c r="P330" i="1"/>
  <c r="Q330" i="1" s="1"/>
  <c r="P330" i="1" a="1"/>
  <c r="R329" i="1"/>
  <c r="Q329" i="1"/>
  <c r="P329" i="1"/>
  <c r="P329" i="1" a="1"/>
  <c r="R328" i="1"/>
  <c r="P328" i="1"/>
  <c r="Q328" i="1" s="1"/>
  <c r="P328" i="1" a="1"/>
  <c r="R327" i="1"/>
  <c r="P327" i="1" a="1"/>
  <c r="P327" i="1" s="1"/>
  <c r="Q327" i="1" s="1"/>
  <c r="R326" i="1"/>
  <c r="P326" i="1"/>
  <c r="Q326" i="1" s="1"/>
  <c r="P326" i="1" a="1"/>
  <c r="R325" i="1"/>
  <c r="P325" i="1" a="1"/>
  <c r="P325" i="1" s="1"/>
  <c r="Q325" i="1" s="1"/>
  <c r="R324" i="1"/>
  <c r="P324" i="1"/>
  <c r="Q324" i="1" s="1"/>
  <c r="P324" i="1" a="1"/>
  <c r="R323" i="1"/>
  <c r="P323" i="1" a="1"/>
  <c r="P323" i="1" s="1"/>
  <c r="Q323" i="1" s="1"/>
  <c r="R322" i="1"/>
  <c r="P322" i="1"/>
  <c r="Q322" i="1" s="1"/>
  <c r="P322" i="1" a="1"/>
  <c r="R321" i="1"/>
  <c r="P321" i="1" a="1"/>
  <c r="P321" i="1" s="1"/>
  <c r="Q321" i="1" s="1"/>
  <c r="R320" i="1"/>
  <c r="P320" i="1"/>
  <c r="Q320" i="1" s="1"/>
  <c r="P320" i="1" a="1"/>
  <c r="R319" i="1"/>
  <c r="P319" i="1" a="1"/>
  <c r="P319" i="1" s="1"/>
  <c r="Q319" i="1" s="1"/>
  <c r="R318" i="1"/>
  <c r="P318" i="1"/>
  <c r="Q318" i="1" s="1"/>
  <c r="P318" i="1" a="1"/>
  <c r="R317" i="1"/>
  <c r="P317" i="1" a="1"/>
  <c r="P317" i="1" s="1"/>
  <c r="Q317" i="1" s="1"/>
  <c r="R316" i="1"/>
  <c r="P316" i="1"/>
  <c r="Q316" i="1" s="1"/>
  <c r="P316" i="1" a="1"/>
  <c r="R315" i="1"/>
  <c r="P315" i="1" a="1"/>
  <c r="P315" i="1" s="1"/>
  <c r="Q315" i="1" s="1"/>
  <c r="R314" i="1"/>
  <c r="P314" i="1"/>
  <c r="Q314" i="1" s="1"/>
  <c r="P314" i="1" a="1"/>
  <c r="R313" i="1"/>
  <c r="P313" i="1" a="1"/>
  <c r="P313" i="1" s="1"/>
  <c r="Q313" i="1" s="1"/>
  <c r="R312" i="1"/>
  <c r="P312" i="1"/>
  <c r="Q312" i="1" s="1"/>
  <c r="P312" i="1" a="1"/>
  <c r="R311" i="1"/>
  <c r="P311" i="1" a="1"/>
  <c r="P311" i="1" s="1"/>
  <c r="Q311" i="1" s="1"/>
  <c r="R310" i="1"/>
  <c r="P310" i="1"/>
  <c r="Q310" i="1" s="1"/>
  <c r="P310" i="1" a="1"/>
  <c r="R309" i="1"/>
  <c r="P309" i="1" a="1"/>
  <c r="P309" i="1" s="1"/>
  <c r="Q309" i="1" s="1"/>
  <c r="R308" i="1"/>
  <c r="P308" i="1"/>
  <c r="Q308" i="1" s="1"/>
  <c r="P308" i="1" a="1"/>
  <c r="R307" i="1"/>
  <c r="P307" i="1" a="1"/>
  <c r="P307" i="1" s="1"/>
  <c r="Q307" i="1" s="1"/>
  <c r="R306" i="1"/>
  <c r="P306" i="1"/>
  <c r="Q306" i="1" s="1"/>
  <c r="P306" i="1" a="1"/>
  <c r="R305" i="1"/>
  <c r="P305" i="1" a="1"/>
  <c r="P305" i="1" s="1"/>
  <c r="Q305" i="1" s="1"/>
  <c r="R304" i="1"/>
  <c r="P304" i="1"/>
  <c r="Q304" i="1" s="1"/>
  <c r="P304" i="1" a="1"/>
  <c r="R303" i="1"/>
  <c r="P303" i="1" a="1"/>
  <c r="P303" i="1" s="1"/>
  <c r="Q303" i="1" s="1"/>
  <c r="R302" i="1"/>
  <c r="P302" i="1"/>
  <c r="Q302" i="1" s="1"/>
  <c r="P302" i="1" a="1"/>
  <c r="R301" i="1"/>
  <c r="P301" i="1" a="1"/>
  <c r="P301" i="1" s="1"/>
  <c r="Q301" i="1" s="1"/>
  <c r="R300" i="1"/>
  <c r="P300" i="1"/>
  <c r="Q300" i="1" s="1"/>
  <c r="P300" i="1" a="1"/>
  <c r="R299" i="1"/>
  <c r="P299" i="1" a="1"/>
  <c r="P299" i="1" s="1"/>
  <c r="Q299" i="1" s="1"/>
  <c r="R298" i="1"/>
  <c r="P298" i="1" a="1"/>
  <c r="P298" i="1" s="1"/>
  <c r="Q298" i="1" s="1"/>
  <c r="R297" i="1"/>
  <c r="P297" i="1" a="1"/>
  <c r="P297" i="1" s="1"/>
  <c r="Q297" i="1" s="1"/>
  <c r="R296" i="1"/>
  <c r="P296" i="1" a="1"/>
  <c r="P296" i="1" s="1"/>
  <c r="Q296" i="1" s="1"/>
  <c r="R295" i="1"/>
  <c r="P295" i="1" a="1"/>
  <c r="P295" i="1" s="1"/>
  <c r="Q295" i="1" s="1"/>
  <c r="R294" i="1"/>
  <c r="P294" i="1"/>
  <c r="Q294" i="1" s="1"/>
  <c r="P294" i="1" a="1"/>
  <c r="R293" i="1"/>
  <c r="P293" i="1" a="1"/>
  <c r="P293" i="1" s="1"/>
  <c r="Q293" i="1" s="1"/>
  <c r="R292" i="1"/>
  <c r="P292" i="1" a="1"/>
  <c r="P292" i="1" s="1"/>
  <c r="Q292" i="1" s="1"/>
  <c r="R291" i="1"/>
  <c r="P291" i="1" a="1"/>
  <c r="P291" i="1" s="1"/>
  <c r="Q291" i="1" s="1"/>
  <c r="R290" i="1"/>
  <c r="P290" i="1" a="1"/>
  <c r="P290" i="1" s="1"/>
  <c r="Q290" i="1" s="1"/>
  <c r="R289" i="1"/>
  <c r="P289" i="1" a="1"/>
  <c r="P289" i="1" s="1"/>
  <c r="Q289" i="1" s="1"/>
  <c r="R288" i="1"/>
  <c r="P288" i="1"/>
  <c r="Q288" i="1" s="1"/>
  <c r="P288" i="1" a="1"/>
  <c r="R287" i="1"/>
  <c r="P287" i="1" a="1"/>
  <c r="P287" i="1" s="1"/>
  <c r="Q287" i="1" s="1"/>
  <c r="R286" i="1"/>
  <c r="P286" i="1"/>
  <c r="Q286" i="1" s="1"/>
  <c r="P286" i="1" a="1"/>
  <c r="R285" i="1"/>
  <c r="P285" i="1" a="1"/>
  <c r="P285" i="1" s="1"/>
  <c r="Q285" i="1" s="1"/>
  <c r="R284" i="1"/>
  <c r="P284" i="1"/>
  <c r="Q284" i="1" s="1"/>
  <c r="P284" i="1" a="1"/>
  <c r="R283" i="1"/>
  <c r="P283" i="1" a="1"/>
  <c r="P283" i="1" s="1"/>
  <c r="Q283" i="1" s="1"/>
  <c r="R282" i="1"/>
  <c r="P282" i="1" a="1"/>
  <c r="P282" i="1" s="1"/>
  <c r="Q282" i="1" s="1"/>
  <c r="R281" i="1"/>
  <c r="P281" i="1" a="1"/>
  <c r="P281" i="1" s="1"/>
  <c r="Q281" i="1" s="1"/>
  <c r="R280" i="1"/>
  <c r="P280" i="1" a="1"/>
  <c r="P280" i="1" s="1"/>
  <c r="Q280" i="1" s="1"/>
  <c r="R279" i="1"/>
  <c r="P279" i="1" a="1"/>
  <c r="P279" i="1" s="1"/>
  <c r="Q279" i="1" s="1"/>
  <c r="R278" i="1"/>
  <c r="P278" i="1"/>
  <c r="Q278" i="1" s="1"/>
  <c r="P278" i="1" a="1"/>
  <c r="R277" i="1"/>
  <c r="P277" i="1" a="1"/>
  <c r="P277" i="1" s="1"/>
  <c r="Q277" i="1" s="1"/>
  <c r="R276" i="1"/>
  <c r="P276" i="1" a="1"/>
  <c r="P276" i="1" s="1"/>
  <c r="Q276" i="1" s="1"/>
  <c r="R275" i="1"/>
  <c r="P275" i="1" a="1"/>
  <c r="P275" i="1" s="1"/>
  <c r="Q275" i="1" s="1"/>
  <c r="R274" i="1"/>
  <c r="P274" i="1" a="1"/>
  <c r="P274" i="1" s="1"/>
  <c r="Q274" i="1" s="1"/>
  <c r="R273" i="1"/>
  <c r="P273" i="1" a="1"/>
  <c r="P273" i="1" s="1"/>
  <c r="Q273" i="1" s="1"/>
  <c r="R272" i="1"/>
  <c r="P272" i="1"/>
  <c r="Q272" i="1" s="1"/>
  <c r="P272" i="1" a="1"/>
  <c r="R271" i="1"/>
  <c r="P271" i="1" a="1"/>
  <c r="P271" i="1" s="1"/>
  <c r="Q271" i="1" s="1"/>
  <c r="R270" i="1"/>
  <c r="P270" i="1"/>
  <c r="Q270" i="1" s="1"/>
  <c r="P270" i="1" a="1"/>
  <c r="R269" i="1"/>
  <c r="P269" i="1" a="1"/>
  <c r="P269" i="1" s="1"/>
  <c r="Q269" i="1" s="1"/>
  <c r="R268" i="1"/>
  <c r="P268" i="1"/>
  <c r="Q268" i="1" s="1"/>
  <c r="P268" i="1" a="1"/>
  <c r="R267" i="1"/>
  <c r="P267" i="1" a="1"/>
  <c r="P267" i="1" s="1"/>
  <c r="Q267" i="1" s="1"/>
  <c r="R266" i="1"/>
  <c r="P266" i="1" a="1"/>
  <c r="P266" i="1" s="1"/>
  <c r="Q266" i="1" s="1"/>
  <c r="R265" i="1"/>
  <c r="P265" i="1" a="1"/>
  <c r="P265" i="1" s="1"/>
  <c r="Q265" i="1" s="1"/>
  <c r="R264" i="1"/>
  <c r="P264" i="1" a="1"/>
  <c r="P264" i="1" s="1"/>
  <c r="Q264" i="1" s="1"/>
  <c r="R263" i="1"/>
  <c r="P263" i="1" a="1"/>
  <c r="P263" i="1" s="1"/>
  <c r="Q263" i="1" s="1"/>
  <c r="R262" i="1"/>
  <c r="P262" i="1" a="1"/>
  <c r="P262" i="1" s="1"/>
  <c r="Q262" i="1" s="1"/>
  <c r="R261" i="1"/>
  <c r="P261" i="1" a="1"/>
  <c r="P261" i="1" s="1"/>
  <c r="Q261" i="1" s="1"/>
  <c r="R260" i="1"/>
  <c r="P260" i="1" a="1"/>
  <c r="P260" i="1" s="1"/>
  <c r="Q260" i="1" s="1"/>
  <c r="R259" i="1"/>
  <c r="Q259" i="1"/>
  <c r="P259" i="1" a="1"/>
  <c r="P259" i="1" s="1"/>
  <c r="R258" i="1"/>
  <c r="P258" i="1"/>
  <c r="Q258" i="1" s="1"/>
  <c r="P258" i="1" a="1"/>
  <c r="R257" i="1"/>
  <c r="Q257" i="1"/>
  <c r="P257" i="1" a="1"/>
  <c r="P257" i="1" s="1"/>
  <c r="R256" i="1"/>
  <c r="P256" i="1" a="1"/>
  <c r="P256" i="1" s="1"/>
  <c r="Q256" i="1" s="1"/>
  <c r="R255" i="1"/>
  <c r="P255" i="1" a="1"/>
  <c r="P255" i="1" s="1"/>
  <c r="Q255" i="1" s="1"/>
  <c r="R254" i="1"/>
  <c r="P254" i="1" a="1"/>
  <c r="P254" i="1" s="1"/>
  <c r="Q254" i="1" s="1"/>
  <c r="R253" i="1"/>
  <c r="P253" i="1" a="1"/>
  <c r="P253" i="1" s="1"/>
  <c r="Q253" i="1" s="1"/>
  <c r="R252" i="1"/>
  <c r="P252" i="1" a="1"/>
  <c r="P252" i="1" s="1"/>
  <c r="Q252" i="1" s="1"/>
  <c r="R251" i="1"/>
  <c r="Q251" i="1"/>
  <c r="P251" i="1" a="1"/>
  <c r="P251" i="1" s="1"/>
  <c r="R250" i="1"/>
  <c r="P250" i="1"/>
  <c r="Q250" i="1" s="1"/>
  <c r="P250" i="1" a="1"/>
  <c r="R249" i="1"/>
  <c r="Q249" i="1"/>
  <c r="P249" i="1" a="1"/>
  <c r="P249" i="1" s="1"/>
  <c r="R248" i="1"/>
  <c r="P248" i="1" a="1"/>
  <c r="P248" i="1" s="1"/>
  <c r="Q248" i="1" s="1"/>
  <c r="R247" i="1"/>
  <c r="P247" i="1" a="1"/>
  <c r="P247" i="1" s="1"/>
  <c r="Q247" i="1" s="1"/>
  <c r="R246" i="1"/>
  <c r="P246" i="1" a="1"/>
  <c r="P246" i="1" s="1"/>
  <c r="Q246" i="1" s="1"/>
  <c r="R245" i="1"/>
  <c r="P245" i="1" a="1"/>
  <c r="P245" i="1" s="1"/>
  <c r="Q245" i="1" s="1"/>
  <c r="R244" i="1"/>
  <c r="P244" i="1" a="1"/>
  <c r="P244" i="1" s="1"/>
  <c r="Q244" i="1" s="1"/>
  <c r="R243" i="1"/>
  <c r="Q243" i="1"/>
  <c r="P243" i="1" a="1"/>
  <c r="P243" i="1" s="1"/>
  <c r="R242" i="1"/>
  <c r="P242" i="1"/>
  <c r="Q242" i="1" s="1"/>
  <c r="P242" i="1" a="1"/>
  <c r="R241" i="1"/>
  <c r="Q241" i="1"/>
  <c r="P241" i="1" a="1"/>
  <c r="P241" i="1" s="1"/>
  <c r="R240" i="1"/>
  <c r="P240" i="1" a="1"/>
  <c r="P240" i="1" s="1"/>
  <c r="Q240" i="1" s="1"/>
  <c r="R239" i="1"/>
  <c r="P239" i="1" a="1"/>
  <c r="P239" i="1" s="1"/>
  <c r="Q239" i="1" s="1"/>
  <c r="R238" i="1"/>
  <c r="P238" i="1" a="1"/>
  <c r="P238" i="1" s="1"/>
  <c r="Q238" i="1" s="1"/>
  <c r="R237" i="1"/>
  <c r="P237" i="1" a="1"/>
  <c r="P237" i="1" s="1"/>
  <c r="Q237" i="1" s="1"/>
  <c r="R236" i="1"/>
  <c r="Q236" i="1"/>
  <c r="P236" i="1"/>
  <c r="P236" i="1" a="1"/>
  <c r="R235" i="1"/>
  <c r="Q235" i="1"/>
  <c r="P235" i="1" a="1"/>
  <c r="P235" i="1" s="1"/>
  <c r="R234" i="1"/>
  <c r="P234" i="1" a="1"/>
  <c r="P234" i="1" s="1"/>
  <c r="Q234" i="1" s="1"/>
  <c r="R233" i="1"/>
  <c r="P233" i="1" a="1"/>
  <c r="P233" i="1" s="1"/>
  <c r="Q233" i="1" s="1"/>
  <c r="R232" i="1"/>
  <c r="P232" i="1"/>
  <c r="Q232" i="1" s="1"/>
  <c r="P232" i="1" a="1"/>
  <c r="R231" i="1"/>
  <c r="P231" i="1" a="1"/>
  <c r="P231" i="1" s="1"/>
  <c r="Q231" i="1" s="1"/>
  <c r="R230" i="1"/>
  <c r="P230" i="1" a="1"/>
  <c r="P230" i="1" s="1"/>
  <c r="Q230" i="1" s="1"/>
  <c r="R229" i="1"/>
  <c r="Q229" i="1"/>
  <c r="P229" i="1" a="1"/>
  <c r="P229" i="1" s="1"/>
  <c r="R228" i="1"/>
  <c r="P228" i="1" a="1"/>
  <c r="P228" i="1" s="1"/>
  <c r="Q228" i="1" s="1"/>
  <c r="R227" i="1"/>
  <c r="Q227" i="1"/>
  <c r="P227" i="1" a="1"/>
  <c r="P227" i="1" s="1"/>
  <c r="R226" i="1"/>
  <c r="P226" i="1"/>
  <c r="Q226" i="1" s="1"/>
  <c r="P226" i="1" a="1"/>
  <c r="R225" i="1"/>
  <c r="Q225" i="1"/>
  <c r="P225" i="1" a="1"/>
  <c r="P225" i="1" s="1"/>
  <c r="R224" i="1"/>
  <c r="P224" i="1" a="1"/>
  <c r="P224" i="1" s="1"/>
  <c r="Q224" i="1" s="1"/>
  <c r="R223" i="1"/>
  <c r="P223" i="1" a="1"/>
  <c r="P223" i="1" s="1"/>
  <c r="Q223" i="1" s="1"/>
  <c r="R222" i="1"/>
  <c r="P222" i="1" a="1"/>
  <c r="P222" i="1" s="1"/>
  <c r="Q222" i="1" s="1"/>
  <c r="R221" i="1"/>
  <c r="P221" i="1" a="1"/>
  <c r="P221" i="1" s="1"/>
  <c r="Q221" i="1" s="1"/>
  <c r="R220" i="1"/>
  <c r="Q220" i="1"/>
  <c r="P220" i="1"/>
  <c r="P220" i="1" a="1"/>
  <c r="R219" i="1"/>
  <c r="Q219" i="1"/>
  <c r="P219" i="1" a="1"/>
  <c r="P219" i="1" s="1"/>
  <c r="R218" i="1"/>
  <c r="Q218" i="1"/>
  <c r="P218" i="1"/>
  <c r="P218" i="1" a="1"/>
  <c r="R217" i="1"/>
  <c r="P217" i="1" a="1"/>
  <c r="P217" i="1" s="1"/>
  <c r="Q217" i="1" s="1"/>
  <c r="R216" i="1"/>
  <c r="P216" i="1"/>
  <c r="Q216" i="1" s="1"/>
  <c r="P216" i="1" a="1"/>
  <c r="R215" i="1"/>
  <c r="P215" i="1" a="1"/>
  <c r="P215" i="1" s="1"/>
  <c r="Q215" i="1" s="1"/>
  <c r="R214" i="1"/>
  <c r="P214" i="1" a="1"/>
  <c r="P214" i="1" s="1"/>
  <c r="Q214" i="1" s="1"/>
  <c r="R213" i="1"/>
  <c r="Q213" i="1"/>
  <c r="P213" i="1" a="1"/>
  <c r="P213" i="1" s="1"/>
  <c r="R212" i="1"/>
  <c r="P212" i="1" a="1"/>
  <c r="P212" i="1" s="1"/>
  <c r="Q212" i="1" s="1"/>
  <c r="R211" i="1"/>
  <c r="Q211" i="1"/>
  <c r="P211" i="1" a="1"/>
  <c r="P211" i="1" s="1"/>
  <c r="R210" i="1"/>
  <c r="P210" i="1"/>
  <c r="Q210" i="1" s="1"/>
  <c r="P210" i="1" a="1"/>
  <c r="R209" i="1"/>
  <c r="Q209" i="1"/>
  <c r="P209" i="1" a="1"/>
  <c r="P209" i="1" s="1"/>
  <c r="R208" i="1"/>
  <c r="P208" i="1" a="1"/>
  <c r="P208" i="1" s="1"/>
  <c r="Q208" i="1" s="1"/>
  <c r="R207" i="1"/>
  <c r="P207" i="1" a="1"/>
  <c r="P207" i="1" s="1"/>
  <c r="Q207" i="1" s="1"/>
  <c r="R206" i="1"/>
  <c r="Q206" i="1"/>
  <c r="P206" i="1"/>
  <c r="P206" i="1" a="1"/>
  <c r="R205" i="1"/>
  <c r="P205" i="1" a="1"/>
  <c r="P205" i="1" s="1"/>
  <c r="Q205" i="1" s="1"/>
  <c r="R204" i="1"/>
  <c r="Q204" i="1"/>
  <c r="P204" i="1"/>
  <c r="P204" i="1" a="1"/>
  <c r="R203" i="1"/>
  <c r="Q203" i="1"/>
  <c r="P203" i="1" a="1"/>
  <c r="P203" i="1" s="1"/>
  <c r="R202" i="1"/>
  <c r="P202" i="1" a="1"/>
  <c r="P202" i="1" s="1"/>
  <c r="Q202" i="1" s="1"/>
  <c r="R201" i="1"/>
  <c r="P201" i="1" a="1"/>
  <c r="P201" i="1" s="1"/>
  <c r="Q201" i="1" s="1"/>
  <c r="R200" i="1"/>
  <c r="P200" i="1"/>
  <c r="Q200" i="1" s="1"/>
  <c r="P200" i="1" a="1"/>
  <c r="R199" i="1"/>
  <c r="Q199" i="1"/>
  <c r="P199" i="1" a="1"/>
  <c r="P199" i="1" s="1"/>
  <c r="R198" i="1"/>
  <c r="P198" i="1" a="1"/>
  <c r="P198" i="1" s="1"/>
  <c r="Q198" i="1" s="1"/>
  <c r="R197" i="1"/>
  <c r="Q197" i="1"/>
  <c r="P197" i="1" a="1"/>
  <c r="P197" i="1" s="1"/>
  <c r="R196" i="1"/>
  <c r="P196" i="1" a="1"/>
  <c r="P196" i="1" s="1"/>
  <c r="Q196" i="1" s="1"/>
  <c r="R195" i="1"/>
  <c r="Q195" i="1"/>
  <c r="P195" i="1" a="1"/>
  <c r="P195" i="1" s="1"/>
  <c r="R194" i="1"/>
  <c r="P194" i="1"/>
  <c r="Q194" i="1" s="1"/>
  <c r="P194" i="1" a="1"/>
  <c r="R193" i="1"/>
  <c r="P193" i="1" a="1"/>
  <c r="P193" i="1" s="1"/>
  <c r="Q193" i="1" s="1"/>
  <c r="R192" i="1"/>
  <c r="P192" i="1" a="1"/>
  <c r="P192" i="1" s="1"/>
  <c r="Q192" i="1" s="1"/>
  <c r="R191" i="1"/>
  <c r="P191" i="1" a="1"/>
  <c r="P191" i="1" s="1"/>
  <c r="Q191" i="1" s="1"/>
  <c r="R190" i="1"/>
  <c r="Q190" i="1"/>
  <c r="P190" i="1"/>
  <c r="P190" i="1" a="1"/>
  <c r="R189" i="1"/>
  <c r="P189" i="1" a="1"/>
  <c r="P189" i="1" s="1"/>
  <c r="Q189" i="1" s="1"/>
  <c r="R188" i="1"/>
  <c r="Q188" i="1"/>
  <c r="P188" i="1"/>
  <c r="P188" i="1" a="1"/>
  <c r="R187" i="1"/>
  <c r="Q187" i="1"/>
  <c r="P187" i="1" a="1"/>
  <c r="P187" i="1" s="1"/>
  <c r="R186" i="1"/>
  <c r="Q186" i="1"/>
  <c r="P186" i="1"/>
  <c r="P186" i="1" a="1"/>
  <c r="R185" i="1"/>
  <c r="P185" i="1" a="1"/>
  <c r="P185" i="1" s="1"/>
  <c r="Q185" i="1" s="1"/>
  <c r="R184" i="1"/>
  <c r="P184" i="1" a="1"/>
  <c r="P184" i="1" s="1"/>
  <c r="Q184" i="1" s="1"/>
  <c r="R183" i="1"/>
  <c r="Q183" i="1"/>
  <c r="P183" i="1" a="1"/>
  <c r="P183" i="1" s="1"/>
  <c r="R182" i="1"/>
  <c r="P182" i="1" a="1"/>
  <c r="P182" i="1" s="1"/>
  <c r="Q182" i="1" s="1"/>
  <c r="R181" i="1"/>
  <c r="Q181" i="1"/>
  <c r="P181" i="1" a="1"/>
  <c r="P181" i="1" s="1"/>
  <c r="R180" i="1"/>
  <c r="P180" i="1" a="1"/>
  <c r="P180" i="1" s="1"/>
  <c r="Q180" i="1" s="1"/>
  <c r="R179" i="1"/>
  <c r="Q179" i="1"/>
  <c r="P179" i="1" a="1"/>
  <c r="P179" i="1" s="1"/>
  <c r="R178" i="1"/>
  <c r="P178" i="1"/>
  <c r="Q178" i="1" s="1"/>
  <c r="P178" i="1" a="1"/>
  <c r="R177" i="1"/>
  <c r="P177" i="1" a="1"/>
  <c r="P177" i="1" s="1"/>
  <c r="Q177" i="1" s="1"/>
  <c r="R176" i="1"/>
  <c r="P176" i="1" a="1"/>
  <c r="P176" i="1" s="1"/>
  <c r="Q176" i="1" s="1"/>
  <c r="R175" i="1"/>
  <c r="P175" i="1" a="1"/>
  <c r="P175" i="1" s="1"/>
  <c r="Q175" i="1" s="1"/>
  <c r="R174" i="1"/>
  <c r="Q174" i="1"/>
  <c r="P174" i="1"/>
  <c r="P174" i="1" a="1"/>
  <c r="R173" i="1"/>
  <c r="P173" i="1" a="1"/>
  <c r="P173" i="1" s="1"/>
  <c r="Q173" i="1" s="1"/>
  <c r="R172" i="1"/>
  <c r="Q172" i="1"/>
  <c r="P172" i="1"/>
  <c r="P172" i="1" a="1"/>
  <c r="R171" i="1"/>
  <c r="Q171" i="1"/>
  <c r="P171" i="1" a="1"/>
  <c r="P171" i="1" s="1"/>
  <c r="R170" i="1"/>
  <c r="P170" i="1" a="1"/>
  <c r="P170" i="1" s="1"/>
  <c r="Q170" i="1" s="1"/>
  <c r="R169" i="1"/>
  <c r="P169" i="1"/>
  <c r="Q169" i="1" s="1"/>
  <c r="P169" i="1" a="1"/>
  <c r="R168" i="1"/>
  <c r="P168" i="1" a="1"/>
  <c r="P168" i="1" s="1"/>
  <c r="Q168" i="1" s="1"/>
  <c r="R167" i="1"/>
  <c r="P167" i="1"/>
  <c r="Q167" i="1" s="1"/>
  <c r="P167" i="1" a="1"/>
  <c r="R166" i="1"/>
  <c r="P166" i="1" a="1"/>
  <c r="P166" i="1" s="1"/>
  <c r="Q166" i="1" s="1"/>
  <c r="R165" i="1"/>
  <c r="P165" i="1"/>
  <c r="Q165" i="1" s="1"/>
  <c r="P165" i="1" a="1"/>
  <c r="R164" i="1"/>
  <c r="P164" i="1" a="1"/>
  <c r="P164" i="1" s="1"/>
  <c r="Q164" i="1" s="1"/>
  <c r="R163" i="1"/>
  <c r="P163" i="1"/>
  <c r="Q163" i="1" s="1"/>
  <c r="P163" i="1" a="1"/>
  <c r="R162" i="1"/>
  <c r="P162" i="1" a="1"/>
  <c r="P162" i="1" s="1"/>
  <c r="Q162" i="1" s="1"/>
  <c r="R161" i="1"/>
  <c r="P161" i="1"/>
  <c r="Q161" i="1" s="1"/>
  <c r="P161" i="1" a="1"/>
  <c r="R160" i="1"/>
  <c r="P160" i="1" a="1"/>
  <c r="P160" i="1" s="1"/>
  <c r="Q160" i="1" s="1"/>
  <c r="R159" i="1"/>
  <c r="P159" i="1"/>
  <c r="Q159" i="1" s="1"/>
  <c r="P159" i="1" a="1"/>
  <c r="R158" i="1"/>
  <c r="P158" i="1" a="1"/>
  <c r="P158" i="1" s="1"/>
  <c r="Q158" i="1" s="1"/>
  <c r="R157" i="1"/>
  <c r="P157" i="1"/>
  <c r="Q157" i="1" s="1"/>
  <c r="P157" i="1" a="1"/>
  <c r="R156" i="1"/>
  <c r="P156" i="1" a="1"/>
  <c r="P156" i="1" s="1"/>
  <c r="Q156" i="1" s="1"/>
  <c r="R155" i="1"/>
  <c r="P155" i="1" a="1"/>
  <c r="P155" i="1" s="1"/>
  <c r="Q155" i="1" s="1"/>
  <c r="R154" i="1"/>
  <c r="P154" i="1" a="1"/>
  <c r="P154" i="1" s="1"/>
  <c r="Q154" i="1" s="1"/>
  <c r="R153" i="1"/>
  <c r="P153" i="1" a="1"/>
  <c r="P153" i="1" s="1"/>
  <c r="Q153" i="1" s="1"/>
  <c r="R152" i="1"/>
  <c r="P152" i="1" a="1"/>
  <c r="P152" i="1" s="1"/>
  <c r="Q152" i="1" s="1"/>
  <c r="R151" i="1"/>
  <c r="P151" i="1" a="1"/>
  <c r="P151" i="1" s="1"/>
  <c r="Q151" i="1" s="1"/>
  <c r="R150" i="1"/>
  <c r="P150" i="1" a="1"/>
  <c r="P150" i="1" s="1"/>
  <c r="Q150" i="1" s="1"/>
  <c r="R149" i="1"/>
  <c r="P149" i="1" a="1"/>
  <c r="P149" i="1" s="1"/>
  <c r="Q149" i="1" s="1"/>
  <c r="R148" i="1"/>
  <c r="P148" i="1" a="1"/>
  <c r="P148" i="1" s="1"/>
  <c r="Q148" i="1" s="1"/>
  <c r="R147" i="1"/>
  <c r="P147" i="1" a="1"/>
  <c r="P147" i="1" s="1"/>
  <c r="Q147" i="1" s="1"/>
  <c r="R146" i="1"/>
  <c r="P146" i="1" a="1"/>
  <c r="P146" i="1" s="1"/>
  <c r="Q146" i="1" s="1"/>
  <c r="R145" i="1"/>
  <c r="P145" i="1" a="1"/>
  <c r="P145" i="1" s="1"/>
  <c r="Q145" i="1" s="1"/>
  <c r="R144" i="1"/>
  <c r="P144" i="1" a="1"/>
  <c r="P144" i="1" s="1"/>
  <c r="Q144" i="1" s="1"/>
  <c r="R143" i="1"/>
  <c r="P143" i="1" a="1"/>
  <c r="P143" i="1" s="1"/>
  <c r="Q143" i="1" s="1"/>
  <c r="R142" i="1"/>
  <c r="P142" i="1" a="1"/>
  <c r="P142" i="1" s="1"/>
  <c r="Q142" i="1" s="1"/>
  <c r="R141" i="1"/>
  <c r="P141" i="1" a="1"/>
  <c r="P141" i="1" s="1"/>
  <c r="Q141" i="1" s="1"/>
  <c r="R140" i="1"/>
  <c r="P140" i="1" a="1"/>
  <c r="P140" i="1" s="1"/>
  <c r="Q140" i="1" s="1"/>
  <c r="R139" i="1"/>
  <c r="P139" i="1" a="1"/>
  <c r="P139" i="1" s="1"/>
  <c r="Q139" i="1" s="1"/>
  <c r="R138" i="1"/>
  <c r="P138" i="1" a="1"/>
  <c r="P138" i="1" s="1"/>
  <c r="Q138" i="1" s="1"/>
  <c r="R137" i="1"/>
  <c r="P137" i="1" a="1"/>
  <c r="P137" i="1" s="1"/>
  <c r="Q137" i="1" s="1"/>
  <c r="R136" i="1"/>
  <c r="P136" i="1" a="1"/>
  <c r="P136" i="1" s="1"/>
  <c r="Q136" i="1" s="1"/>
  <c r="R135" i="1"/>
  <c r="P135" i="1" a="1"/>
  <c r="P135" i="1" s="1"/>
  <c r="Q135" i="1" s="1"/>
  <c r="R134" i="1"/>
  <c r="P134" i="1" a="1"/>
  <c r="P134" i="1" s="1"/>
  <c r="Q134" i="1" s="1"/>
  <c r="R133" i="1"/>
  <c r="P133" i="1" a="1"/>
  <c r="P133" i="1" s="1"/>
  <c r="Q133" i="1" s="1"/>
  <c r="R132" i="1"/>
  <c r="P132" i="1" a="1"/>
  <c r="P132" i="1" s="1"/>
  <c r="Q132" i="1" s="1"/>
  <c r="R131" i="1"/>
  <c r="P131" i="1" a="1"/>
  <c r="P131" i="1" s="1"/>
  <c r="Q131" i="1" s="1"/>
  <c r="R130" i="1"/>
  <c r="P130" i="1" a="1"/>
  <c r="P130" i="1" s="1"/>
  <c r="Q130" i="1" s="1"/>
  <c r="R129" i="1"/>
  <c r="P129" i="1" a="1"/>
  <c r="P129" i="1" s="1"/>
  <c r="Q129" i="1" s="1"/>
  <c r="R128" i="1"/>
  <c r="P128" i="1" a="1"/>
  <c r="P128" i="1" s="1"/>
  <c r="Q128" i="1" s="1"/>
  <c r="R127" i="1"/>
  <c r="P127" i="1" a="1"/>
  <c r="P127" i="1" s="1"/>
  <c r="Q127" i="1" s="1"/>
  <c r="R126" i="1"/>
  <c r="P126" i="1" a="1"/>
  <c r="P126" i="1" s="1"/>
  <c r="Q126" i="1" s="1"/>
  <c r="R125" i="1"/>
  <c r="P125" i="1" a="1"/>
  <c r="P125" i="1" s="1"/>
  <c r="Q125" i="1" s="1"/>
  <c r="R124" i="1"/>
  <c r="P124" i="1" a="1"/>
  <c r="P124" i="1" s="1"/>
  <c r="Q124" i="1" s="1"/>
  <c r="R123" i="1"/>
  <c r="P123" i="1" a="1"/>
  <c r="P123" i="1" s="1"/>
  <c r="Q123" i="1" s="1"/>
  <c r="R122" i="1"/>
  <c r="P122" i="1" a="1"/>
  <c r="P122" i="1" s="1"/>
  <c r="Q122" i="1" s="1"/>
  <c r="R121" i="1"/>
  <c r="P121" i="1" a="1"/>
  <c r="P121" i="1" s="1"/>
  <c r="Q121" i="1" s="1"/>
  <c r="R120" i="1"/>
  <c r="P120" i="1" a="1"/>
  <c r="P120" i="1" s="1"/>
  <c r="Q120" i="1" s="1"/>
  <c r="R119" i="1"/>
  <c r="P119" i="1" a="1"/>
  <c r="P119" i="1" s="1"/>
  <c r="Q119" i="1" s="1"/>
  <c r="R118" i="1"/>
  <c r="P118" i="1" a="1"/>
  <c r="P118" i="1" s="1"/>
  <c r="Q118" i="1" s="1"/>
  <c r="R117" i="1"/>
  <c r="P117" i="1" a="1"/>
  <c r="P117" i="1" s="1"/>
  <c r="Q117" i="1" s="1"/>
  <c r="R116" i="1"/>
  <c r="P116" i="1" a="1"/>
  <c r="P116" i="1" s="1"/>
  <c r="Q116" i="1" s="1"/>
  <c r="R115" i="1"/>
  <c r="P115" i="1" a="1"/>
  <c r="P115" i="1" s="1"/>
  <c r="Q115" i="1" s="1"/>
  <c r="R114" i="1"/>
  <c r="P114" i="1" a="1"/>
  <c r="P114" i="1" s="1"/>
  <c r="Q114" i="1" s="1"/>
  <c r="R113" i="1"/>
  <c r="P113" i="1" a="1"/>
  <c r="P113" i="1" s="1"/>
  <c r="Q113" i="1" s="1"/>
  <c r="R112" i="1"/>
  <c r="P112" i="1" a="1"/>
  <c r="P112" i="1" s="1"/>
  <c r="Q112" i="1" s="1"/>
  <c r="R111" i="1"/>
  <c r="P111" i="1" a="1"/>
  <c r="P111" i="1" s="1"/>
  <c r="Q111" i="1" s="1"/>
  <c r="R110" i="1"/>
  <c r="P110" i="1" a="1"/>
  <c r="P110" i="1" s="1"/>
  <c r="Q110" i="1" s="1"/>
  <c r="R109" i="1"/>
  <c r="P109" i="1" a="1"/>
  <c r="P109" i="1" s="1"/>
  <c r="Q109" i="1" s="1"/>
  <c r="R108" i="1"/>
  <c r="P108" i="1" a="1"/>
  <c r="P108" i="1" s="1"/>
  <c r="Q108" i="1" s="1"/>
  <c r="R107" i="1"/>
  <c r="P107" i="1" a="1"/>
  <c r="P107" i="1" s="1"/>
  <c r="Q107" i="1" s="1"/>
  <c r="R106" i="1"/>
  <c r="P106" i="1" a="1"/>
  <c r="P106" i="1" s="1"/>
  <c r="Q106" i="1" s="1"/>
  <c r="R105" i="1"/>
  <c r="P105" i="1" a="1"/>
  <c r="P105" i="1" s="1"/>
  <c r="Q105" i="1" s="1"/>
  <c r="R104" i="1"/>
  <c r="P104" i="1" a="1"/>
  <c r="P104" i="1" s="1"/>
  <c r="Q104" i="1" s="1"/>
  <c r="R103" i="1"/>
  <c r="P103" i="1" a="1"/>
  <c r="P103" i="1" s="1"/>
  <c r="Q103" i="1" s="1"/>
  <c r="R102" i="1"/>
  <c r="P102" i="1" a="1"/>
  <c r="P102" i="1" s="1"/>
  <c r="Q102" i="1" s="1"/>
  <c r="R101" i="1"/>
  <c r="P101" i="1" a="1"/>
  <c r="P101" i="1" s="1"/>
  <c r="Q101" i="1" s="1"/>
  <c r="R100" i="1"/>
  <c r="P100" i="1" a="1"/>
  <c r="P100" i="1" s="1"/>
  <c r="Q100" i="1" s="1"/>
  <c r="R99" i="1"/>
  <c r="P99" i="1" a="1"/>
  <c r="P99" i="1" s="1"/>
  <c r="Q99" i="1" s="1"/>
  <c r="R98" i="1"/>
  <c r="P98" i="1" a="1"/>
  <c r="P98" i="1" s="1"/>
  <c r="Q98" i="1" s="1"/>
  <c r="R97" i="1"/>
  <c r="P97" i="1" a="1"/>
  <c r="P97" i="1" s="1"/>
  <c r="Q97" i="1" s="1"/>
  <c r="R96" i="1"/>
  <c r="P96" i="1" a="1"/>
  <c r="P96" i="1" s="1"/>
  <c r="Q96" i="1" s="1"/>
  <c r="R95" i="1"/>
  <c r="P95" i="1" a="1"/>
  <c r="P95" i="1" s="1"/>
  <c r="Q95" i="1" s="1"/>
  <c r="R94" i="1"/>
  <c r="P94" i="1" a="1"/>
  <c r="P94" i="1" s="1"/>
  <c r="Q94" i="1" s="1"/>
  <c r="R93" i="1"/>
  <c r="P93" i="1" a="1"/>
  <c r="P93" i="1" s="1"/>
  <c r="Q93" i="1" s="1"/>
  <c r="R92" i="1"/>
  <c r="P92" i="1" a="1"/>
  <c r="P92" i="1" s="1"/>
  <c r="Q92" i="1" s="1"/>
  <c r="R91" i="1"/>
  <c r="P91" i="1" a="1"/>
  <c r="P91" i="1" s="1"/>
  <c r="Q91" i="1" s="1"/>
  <c r="R90" i="1"/>
  <c r="P90" i="1" a="1"/>
  <c r="P90" i="1" s="1"/>
  <c r="Q90" i="1" s="1"/>
  <c r="R89" i="1"/>
  <c r="P89" i="1" a="1"/>
  <c r="P89" i="1" s="1"/>
  <c r="Q89" i="1" s="1"/>
  <c r="R88" i="1"/>
  <c r="P88" i="1" a="1"/>
  <c r="P88" i="1" s="1"/>
  <c r="Q88" i="1" s="1"/>
  <c r="R87" i="1"/>
  <c r="P87" i="1" a="1"/>
  <c r="P87" i="1" s="1"/>
  <c r="Q87" i="1" s="1"/>
  <c r="R86" i="1"/>
  <c r="P86" i="1" a="1"/>
  <c r="P86" i="1" s="1"/>
  <c r="Q86" i="1" s="1"/>
  <c r="R85" i="1"/>
  <c r="P85" i="1" a="1"/>
  <c r="P85" i="1" s="1"/>
  <c r="Q85" i="1" s="1"/>
  <c r="R84" i="1"/>
  <c r="P84" i="1" a="1"/>
  <c r="P84" i="1" s="1"/>
  <c r="Q84" i="1" s="1"/>
  <c r="R83" i="1"/>
  <c r="P83" i="1" a="1"/>
  <c r="P83" i="1" s="1"/>
  <c r="Q83" i="1" s="1"/>
  <c r="R82" i="1"/>
  <c r="P82" i="1" a="1"/>
  <c r="P82" i="1" s="1"/>
  <c r="Q82" i="1" s="1"/>
  <c r="R81" i="1"/>
  <c r="P81" i="1" a="1"/>
  <c r="P81" i="1" s="1"/>
  <c r="Q81" i="1" s="1"/>
  <c r="R80" i="1"/>
  <c r="P80" i="1" a="1"/>
  <c r="P80" i="1" s="1"/>
  <c r="Q80" i="1" s="1"/>
  <c r="R79" i="1"/>
  <c r="P79" i="1" a="1"/>
  <c r="P79" i="1" s="1"/>
  <c r="Q79" i="1" s="1"/>
  <c r="R78" i="1"/>
  <c r="P78" i="1" a="1"/>
  <c r="P78" i="1" s="1"/>
  <c r="Q78" i="1" s="1"/>
  <c r="R77" i="1"/>
  <c r="P77" i="1" a="1"/>
  <c r="P77" i="1" s="1"/>
  <c r="Q77" i="1" s="1"/>
  <c r="R76" i="1"/>
  <c r="P76" i="1" a="1"/>
  <c r="P76" i="1" s="1"/>
  <c r="Q76" i="1" s="1"/>
  <c r="R75" i="1"/>
  <c r="P75" i="1" a="1"/>
  <c r="P75" i="1" s="1"/>
  <c r="Q75" i="1" s="1"/>
  <c r="R74" i="1"/>
  <c r="P74" i="1" a="1"/>
  <c r="P74" i="1" s="1"/>
  <c r="Q74" i="1" s="1"/>
  <c r="R73" i="1"/>
  <c r="P73" i="1" a="1"/>
  <c r="P73" i="1" s="1"/>
  <c r="Q73" i="1" s="1"/>
  <c r="R72" i="1"/>
  <c r="P72" i="1" a="1"/>
  <c r="P72" i="1" s="1"/>
  <c r="Q72" i="1" s="1"/>
  <c r="R71" i="1"/>
  <c r="P71" i="1" a="1"/>
  <c r="P71" i="1" s="1"/>
  <c r="Q71" i="1" s="1"/>
  <c r="R70" i="1"/>
  <c r="P70" i="1" a="1"/>
  <c r="P70" i="1" s="1"/>
  <c r="Q70" i="1" s="1"/>
  <c r="R69" i="1"/>
  <c r="P69" i="1" a="1"/>
  <c r="P69" i="1" s="1"/>
  <c r="Q69" i="1" s="1"/>
  <c r="R68" i="1"/>
  <c r="P68" i="1" a="1"/>
  <c r="P68" i="1" s="1"/>
  <c r="Q68" i="1" s="1"/>
  <c r="R67" i="1"/>
  <c r="P67" i="1" a="1"/>
  <c r="P67" i="1" s="1"/>
  <c r="Q67" i="1" s="1"/>
  <c r="R66" i="1"/>
  <c r="P66" i="1" a="1"/>
  <c r="P66" i="1" s="1"/>
  <c r="Q66" i="1" s="1"/>
  <c r="R65" i="1"/>
  <c r="P65" i="1" a="1"/>
  <c r="P65" i="1" s="1"/>
  <c r="Q65" i="1" s="1"/>
  <c r="R64" i="1"/>
  <c r="P64" i="1" a="1"/>
  <c r="P64" i="1" s="1"/>
  <c r="Q64" i="1" s="1"/>
  <c r="R63" i="1"/>
  <c r="P63" i="1" a="1"/>
  <c r="P63" i="1" s="1"/>
  <c r="Q63" i="1" s="1"/>
  <c r="R62" i="1"/>
  <c r="P62" i="1" a="1"/>
  <c r="P62" i="1" s="1"/>
  <c r="Q62" i="1" s="1"/>
  <c r="R61" i="1"/>
  <c r="P61" i="1" a="1"/>
  <c r="P61" i="1" s="1"/>
  <c r="Q61" i="1" s="1"/>
  <c r="R60" i="1"/>
  <c r="Q60" i="1"/>
  <c r="P60" i="1" a="1"/>
  <c r="P60" i="1" s="1"/>
  <c r="R59" i="1"/>
  <c r="P59" i="1" a="1"/>
  <c r="P59" i="1" s="1"/>
  <c r="Q59" i="1" s="1"/>
  <c r="R58" i="1"/>
  <c r="P58" i="1" a="1"/>
  <c r="P58" i="1" s="1"/>
  <c r="Q58" i="1" s="1"/>
  <c r="R57" i="1"/>
  <c r="P57" i="1" a="1"/>
  <c r="P57" i="1" s="1"/>
  <c r="Q57" i="1" s="1"/>
  <c r="R56" i="1"/>
  <c r="P56" i="1" a="1"/>
  <c r="P56" i="1" s="1"/>
  <c r="Q56" i="1" s="1"/>
  <c r="R55" i="1"/>
  <c r="P55" i="1" a="1"/>
  <c r="P55" i="1" s="1"/>
  <c r="Q55" i="1" s="1"/>
  <c r="R54" i="1"/>
  <c r="P54" i="1" a="1"/>
  <c r="P54" i="1" s="1"/>
  <c r="Q54" i="1" s="1"/>
  <c r="R53" i="1"/>
  <c r="P53" i="1" a="1"/>
  <c r="P53" i="1" s="1"/>
  <c r="Q53" i="1" s="1"/>
  <c r="R52" i="1"/>
  <c r="Q52" i="1"/>
  <c r="P52" i="1" a="1"/>
  <c r="P52" i="1" s="1"/>
  <c r="R51" i="1"/>
  <c r="P51" i="1" a="1"/>
  <c r="P51" i="1" s="1"/>
  <c r="Q51" i="1" s="1"/>
  <c r="R50" i="1"/>
  <c r="P50" i="1" a="1"/>
  <c r="P50" i="1" s="1"/>
  <c r="Q50" i="1" s="1"/>
  <c r="R49" i="1"/>
  <c r="P49" i="1" a="1"/>
  <c r="P49" i="1" s="1"/>
  <c r="Q49" i="1" s="1"/>
  <c r="R48" i="1"/>
  <c r="Q48" i="1"/>
  <c r="P48" i="1" a="1"/>
  <c r="P48" i="1" s="1"/>
  <c r="R47" i="1"/>
  <c r="P47" i="1" a="1"/>
  <c r="P47" i="1" s="1"/>
  <c r="Q47" i="1" s="1"/>
  <c r="R46" i="1"/>
  <c r="P46" i="1" a="1"/>
  <c r="P46" i="1" s="1"/>
  <c r="Q46" i="1" s="1"/>
  <c r="R45" i="1"/>
  <c r="P45" i="1" a="1"/>
  <c r="P45" i="1" s="1"/>
  <c r="Q45" i="1" s="1"/>
  <c r="R44" i="1"/>
  <c r="Q44" i="1"/>
  <c r="P44" i="1" a="1"/>
  <c r="P44" i="1" s="1"/>
  <c r="R43" i="1"/>
  <c r="P43" i="1" a="1"/>
  <c r="P43" i="1" s="1"/>
  <c r="Q43" i="1" s="1"/>
  <c r="R42" i="1"/>
  <c r="P42" i="1" a="1"/>
  <c r="P42" i="1" s="1"/>
  <c r="Q42" i="1" s="1"/>
  <c r="R41" i="1"/>
  <c r="P41" i="1" a="1"/>
  <c r="P41" i="1" s="1"/>
  <c r="Q41" i="1" s="1"/>
  <c r="R40" i="1"/>
  <c r="P40" i="1" a="1"/>
  <c r="P40" i="1" s="1"/>
  <c r="Q40" i="1" s="1"/>
  <c r="R39" i="1"/>
  <c r="P39" i="1" a="1"/>
  <c r="P39" i="1" s="1"/>
  <c r="Q39" i="1" s="1"/>
  <c r="R38" i="1"/>
  <c r="P38" i="1" a="1"/>
  <c r="P38" i="1" s="1"/>
  <c r="Q38" i="1" s="1"/>
  <c r="R37" i="1"/>
  <c r="P37" i="1" a="1"/>
  <c r="P37" i="1" s="1"/>
  <c r="Q37" i="1" s="1"/>
  <c r="R36" i="1"/>
  <c r="P36" i="1" a="1"/>
  <c r="P36" i="1" s="1"/>
  <c r="Q36" i="1" s="1"/>
  <c r="R35" i="1"/>
  <c r="Q35" i="1"/>
  <c r="P35" i="1" a="1"/>
  <c r="P35" i="1" s="1"/>
  <c r="R34" i="1"/>
  <c r="P34" i="1" a="1"/>
  <c r="P34" i="1" s="1"/>
  <c r="Q34" i="1" s="1"/>
  <c r="R33" i="1"/>
  <c r="Q33" i="1"/>
  <c r="P33" i="1" a="1"/>
  <c r="P33" i="1" s="1"/>
  <c r="R32" i="1"/>
  <c r="P32" i="1" a="1"/>
  <c r="P32" i="1" s="1"/>
  <c r="Q32" i="1" s="1"/>
  <c r="R31" i="1"/>
  <c r="Q31" i="1"/>
  <c r="P31" i="1" a="1"/>
  <c r="P31" i="1" s="1"/>
  <c r="R30" i="1"/>
  <c r="P30" i="1" a="1"/>
  <c r="P30" i="1" s="1"/>
  <c r="Q30" i="1" s="1"/>
  <c r="R29" i="1"/>
  <c r="P29" i="1" a="1"/>
  <c r="P29" i="1" s="1"/>
  <c r="Q29" i="1" s="1"/>
  <c r="R28" i="1"/>
  <c r="P28" i="1" a="1"/>
  <c r="P28" i="1" s="1"/>
  <c r="Q28" i="1" s="1"/>
  <c r="R27" i="1"/>
  <c r="Q27" i="1"/>
  <c r="P27" i="1" a="1"/>
  <c r="P27" i="1" s="1"/>
  <c r="R26" i="1"/>
  <c r="P26" i="1" a="1"/>
  <c r="P26" i="1" s="1"/>
  <c r="Q26" i="1" s="1"/>
  <c r="R25" i="1"/>
  <c r="Q25" i="1"/>
  <c r="P25" i="1" a="1"/>
  <c r="P25" i="1" s="1"/>
  <c r="R24" i="1"/>
  <c r="P24" i="1" a="1"/>
  <c r="P24" i="1" s="1"/>
  <c r="Q24" i="1" s="1"/>
  <c r="R23" i="1"/>
  <c r="Q23" i="1"/>
  <c r="P23" i="1" a="1"/>
  <c r="P23" i="1" s="1"/>
  <c r="R22" i="1"/>
  <c r="P22" i="1" a="1"/>
  <c r="P22" i="1" s="1"/>
  <c r="Q22" i="1" s="1"/>
  <c r="R21" i="1"/>
  <c r="P21" i="1" a="1"/>
  <c r="P21" i="1" s="1"/>
  <c r="Q21" i="1" s="1"/>
  <c r="R20" i="1"/>
  <c r="P20" i="1" a="1"/>
  <c r="P20" i="1" s="1"/>
  <c r="Q20" i="1" s="1"/>
  <c r="R19" i="1"/>
  <c r="Q19" i="1"/>
  <c r="P19" i="1" a="1"/>
  <c r="P19" i="1" s="1"/>
  <c r="R18" i="1"/>
  <c r="P18" i="1" a="1"/>
  <c r="P18" i="1" s="1"/>
  <c r="Q18" i="1" s="1"/>
  <c r="R17" i="1"/>
  <c r="Q17" i="1"/>
  <c r="P17" i="1" a="1"/>
  <c r="P17" i="1" s="1"/>
  <c r="R16" i="1"/>
  <c r="P16" i="1" a="1"/>
  <c r="P16" i="1" s="1"/>
  <c r="Q16" i="1" s="1"/>
  <c r="R15" i="1"/>
  <c r="Q15" i="1"/>
  <c r="P15" i="1" a="1"/>
  <c r="P15" i="1" s="1"/>
  <c r="R14" i="1"/>
  <c r="P14" i="1" a="1"/>
  <c r="P14" i="1" s="1"/>
  <c r="Q14" i="1" s="1"/>
  <c r="R13" i="1"/>
  <c r="P13" i="1" a="1"/>
  <c r="P13" i="1" s="1"/>
  <c r="Q13" i="1" s="1"/>
  <c r="R12" i="1"/>
  <c r="P12" i="1" a="1"/>
  <c r="P12" i="1" s="1"/>
  <c r="Q12" i="1" s="1"/>
  <c r="R11" i="1"/>
  <c r="Q11" i="1"/>
  <c r="P11" i="1" a="1"/>
  <c r="P11" i="1" s="1"/>
  <c r="R10" i="1"/>
  <c r="P10" i="1"/>
  <c r="Q10" i="1" s="1"/>
  <c r="P10" i="1" a="1"/>
  <c r="R9" i="1"/>
  <c r="P9" i="1" a="1"/>
  <c r="P9" i="1" s="1"/>
  <c r="Q9" i="1" s="1"/>
  <c r="R8" i="1"/>
  <c r="P8" i="1" a="1"/>
  <c r="P8" i="1" s="1"/>
  <c r="Q8" i="1" s="1"/>
  <c r="R7" i="1"/>
  <c r="Q7" i="1"/>
  <c r="P7" i="1" a="1"/>
  <c r="P7" i="1" s="1"/>
  <c r="R6" i="1"/>
  <c r="P6" i="1" a="1"/>
  <c r="P6" i="1" s="1"/>
  <c r="Q6" i="1" s="1"/>
  <c r="R5" i="1"/>
  <c r="P5" i="1" a="1"/>
  <c r="P5" i="1" s="1"/>
  <c r="Q5" i="1" s="1"/>
  <c r="R4" i="1"/>
  <c r="P4" i="1" a="1"/>
  <c r="P4" i="1" s="1"/>
  <c r="Q4" i="1" s="1"/>
  <c r="R3" i="1"/>
  <c r="P3" i="1" a="1"/>
  <c r="P3" i="1" s="1"/>
  <c r="Q3" i="1" s="1"/>
  <c r="R2" i="1"/>
  <c r="P2" i="1" a="1"/>
  <c r="P2" i="1" s="1"/>
  <c r="Q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<sst xmlns="http://schemas.openxmlformats.org/spreadsheetml/2006/main" count="7158" uniqueCount="742">
  <si>
    <t>Transaction_ID</t>
  </si>
  <si>
    <t>Date</t>
  </si>
  <si>
    <t>Customer_ID</t>
  </si>
  <si>
    <t>Customer_Age</t>
  </si>
  <si>
    <t>Gender</t>
  </si>
  <si>
    <t>Country</t>
  </si>
  <si>
    <t>Product_Category</t>
  </si>
  <si>
    <t>Product_Name</t>
  </si>
  <si>
    <t>Unit_Price</t>
  </si>
  <si>
    <t>Quantity</t>
  </si>
  <si>
    <t>Discount_%</t>
  </si>
  <si>
    <t>Payment_Method</t>
  </si>
  <si>
    <t>Customer_Rating</t>
  </si>
  <si>
    <t>Delivery_Time_Days</t>
  </si>
  <si>
    <t>Total_Sales</t>
  </si>
  <si>
    <t>Sales_Bonus %</t>
  </si>
  <si>
    <t>Bonus</t>
  </si>
  <si>
    <t>Risk_Level</t>
  </si>
  <si>
    <t>T1000</t>
  </si>
  <si>
    <t>C196</t>
  </si>
  <si>
    <t>Female</t>
  </si>
  <si>
    <t>Nigeria</t>
  </si>
  <si>
    <t>Electronics</t>
  </si>
  <si>
    <t>Backpack</t>
  </si>
  <si>
    <t>Card</t>
  </si>
  <si>
    <t>T1001</t>
  </si>
  <si>
    <t>C106</t>
  </si>
  <si>
    <t>Ghana</t>
  </si>
  <si>
    <t>Fitness Tracker</t>
  </si>
  <si>
    <t>PayPal</t>
  </si>
  <si>
    <t>T1002</t>
  </si>
  <si>
    <t>C195</t>
  </si>
  <si>
    <t>Male</t>
  </si>
  <si>
    <t>Kenya</t>
  </si>
  <si>
    <t>Beauty</t>
  </si>
  <si>
    <t>Headphones</t>
  </si>
  <si>
    <t>T1003</t>
  </si>
  <si>
    <t>C114</t>
  </si>
  <si>
    <t>Fashion</t>
  </si>
  <si>
    <t>T1004</t>
  </si>
  <si>
    <t>C125</t>
  </si>
  <si>
    <t>Home</t>
  </si>
  <si>
    <t>Smartphone</t>
  </si>
  <si>
    <t>Mobile Money</t>
  </si>
  <si>
    <t>T1005</t>
  </si>
  <si>
    <t>C113</t>
  </si>
  <si>
    <t>USA</t>
  </si>
  <si>
    <t>Sports</t>
  </si>
  <si>
    <t>Microwave</t>
  </si>
  <si>
    <t>T1006</t>
  </si>
  <si>
    <t>C162</t>
  </si>
  <si>
    <t>UK</t>
  </si>
  <si>
    <t>Bank Transfer</t>
  </si>
  <si>
    <t>T1007</t>
  </si>
  <si>
    <t>C192</t>
  </si>
  <si>
    <t>Watch</t>
  </si>
  <si>
    <t>T1008</t>
  </si>
  <si>
    <t>C115</t>
  </si>
  <si>
    <t>T1009</t>
  </si>
  <si>
    <t>C198</t>
  </si>
  <si>
    <t>T1010</t>
  </si>
  <si>
    <t>C151</t>
  </si>
  <si>
    <t>T1011</t>
  </si>
  <si>
    <t>C175</t>
  </si>
  <si>
    <t>Laptop</t>
  </si>
  <si>
    <t>T1012</t>
  </si>
  <si>
    <t>C144</t>
  </si>
  <si>
    <t>T1013</t>
  </si>
  <si>
    <t>C109</t>
  </si>
  <si>
    <t>T1014</t>
  </si>
  <si>
    <t>C172</t>
  </si>
  <si>
    <t>T1015</t>
  </si>
  <si>
    <t>C168</t>
  </si>
  <si>
    <t>T1016</t>
  </si>
  <si>
    <t>C157</t>
  </si>
  <si>
    <t>T1017</t>
  </si>
  <si>
    <t>C176</t>
  </si>
  <si>
    <t>T1018</t>
  </si>
  <si>
    <t>C139</t>
  </si>
  <si>
    <t>T-shirt</t>
  </si>
  <si>
    <t>T1019</t>
  </si>
  <si>
    <t>C178</t>
  </si>
  <si>
    <t>T1020</t>
  </si>
  <si>
    <t>C119</t>
  </si>
  <si>
    <t>T1021</t>
  </si>
  <si>
    <t>C152</t>
  </si>
  <si>
    <t>T1022</t>
  </si>
  <si>
    <t>C150</t>
  </si>
  <si>
    <t>T1023</t>
  </si>
  <si>
    <t>C155</t>
  </si>
  <si>
    <t>T1024</t>
  </si>
  <si>
    <t>C130</t>
  </si>
  <si>
    <t>T1025</t>
  </si>
  <si>
    <t>C131</t>
  </si>
  <si>
    <t>T1026</t>
  </si>
  <si>
    <t>T1027</t>
  </si>
  <si>
    <t>Sneakers</t>
  </si>
  <si>
    <t>T1028</t>
  </si>
  <si>
    <t>C171</t>
  </si>
  <si>
    <t>T1029</t>
  </si>
  <si>
    <t>C194</t>
  </si>
  <si>
    <t>T1030</t>
  </si>
  <si>
    <t>C149</t>
  </si>
  <si>
    <t>T1031</t>
  </si>
  <si>
    <t>C153</t>
  </si>
  <si>
    <t>T1032</t>
  </si>
  <si>
    <t>T1033</t>
  </si>
  <si>
    <t>C163</t>
  </si>
  <si>
    <t>T1034</t>
  </si>
  <si>
    <t>C170</t>
  </si>
  <si>
    <t>T1035</t>
  </si>
  <si>
    <t>C108</t>
  </si>
  <si>
    <t>T1036</t>
  </si>
  <si>
    <t>C190</t>
  </si>
  <si>
    <t>T1037</t>
  </si>
  <si>
    <t>T1038</t>
  </si>
  <si>
    <t>C121</t>
  </si>
  <si>
    <t>T1039</t>
  </si>
  <si>
    <t>C187</t>
  </si>
  <si>
    <t>T1040</t>
  </si>
  <si>
    <t>T1041</t>
  </si>
  <si>
    <t>T1042</t>
  </si>
  <si>
    <t>C142</t>
  </si>
  <si>
    <t>T1043</t>
  </si>
  <si>
    <t>C177</t>
  </si>
  <si>
    <t>Blender</t>
  </si>
  <si>
    <t>T1044</t>
  </si>
  <si>
    <t>T1045</t>
  </si>
  <si>
    <t>C169</t>
  </si>
  <si>
    <t>T1046</t>
  </si>
  <si>
    <t>C147</t>
  </si>
  <si>
    <t>T1047</t>
  </si>
  <si>
    <t>C166</t>
  </si>
  <si>
    <t>T1048</t>
  </si>
  <si>
    <t>C120</t>
  </si>
  <si>
    <t>T1049</t>
  </si>
  <si>
    <t>T1050</t>
  </si>
  <si>
    <t>C148</t>
  </si>
  <si>
    <t>T1051</t>
  </si>
  <si>
    <t>T1052</t>
  </si>
  <si>
    <t>C180</t>
  </si>
  <si>
    <t>T1053</t>
  </si>
  <si>
    <t>T1054</t>
  </si>
  <si>
    <t>C133</t>
  </si>
  <si>
    <t>T1055</t>
  </si>
  <si>
    <t>C128</t>
  </si>
  <si>
    <t>T1056</t>
  </si>
  <si>
    <t>T1057</t>
  </si>
  <si>
    <t>C174</t>
  </si>
  <si>
    <t>T1058</t>
  </si>
  <si>
    <t>C158</t>
  </si>
  <si>
    <t>T1059</t>
  </si>
  <si>
    <t>C122</t>
  </si>
  <si>
    <t>T1060</t>
  </si>
  <si>
    <t>C124</t>
  </si>
  <si>
    <t>T1061</t>
  </si>
  <si>
    <t>C182</t>
  </si>
  <si>
    <t>T1062</t>
  </si>
  <si>
    <t>C159</t>
  </si>
  <si>
    <t>T1063</t>
  </si>
  <si>
    <t>T1064</t>
  </si>
  <si>
    <t>T1065</t>
  </si>
  <si>
    <t>C193</t>
  </si>
  <si>
    <t>T1066</t>
  </si>
  <si>
    <t>C110</t>
  </si>
  <si>
    <t>T1067</t>
  </si>
  <si>
    <t>T1068</t>
  </si>
  <si>
    <t>C185</t>
  </si>
  <si>
    <t>T1069</t>
  </si>
  <si>
    <t>C197</t>
  </si>
  <si>
    <t>T1070</t>
  </si>
  <si>
    <t>T1071</t>
  </si>
  <si>
    <t>C141</t>
  </si>
  <si>
    <t>T1072</t>
  </si>
  <si>
    <t>C156</t>
  </si>
  <si>
    <t>T1073</t>
  </si>
  <si>
    <t>T1074</t>
  </si>
  <si>
    <t>T1075</t>
  </si>
  <si>
    <t>C136</t>
  </si>
  <si>
    <t>T1076</t>
  </si>
  <si>
    <t>T1077</t>
  </si>
  <si>
    <t>T1078</t>
  </si>
  <si>
    <t>C183</t>
  </si>
  <si>
    <t>T1079</t>
  </si>
  <si>
    <t>T1080</t>
  </si>
  <si>
    <t>T1081</t>
  </si>
  <si>
    <t>C100</t>
  </si>
  <si>
    <t>T1082</t>
  </si>
  <si>
    <t>T1083</t>
  </si>
  <si>
    <t>T1084</t>
  </si>
  <si>
    <t>T1085</t>
  </si>
  <si>
    <t>T1086</t>
  </si>
  <si>
    <t>T1087</t>
  </si>
  <si>
    <t>T1088</t>
  </si>
  <si>
    <t>T1089</t>
  </si>
  <si>
    <t>T1090</t>
  </si>
  <si>
    <t>T1091</t>
  </si>
  <si>
    <t>T1092</t>
  </si>
  <si>
    <t>T1093</t>
  </si>
  <si>
    <t>T1094</t>
  </si>
  <si>
    <t>T1095</t>
  </si>
  <si>
    <t>C143</t>
  </si>
  <si>
    <t>T1096</t>
  </si>
  <si>
    <t>T1097</t>
  </si>
  <si>
    <t>C145</t>
  </si>
  <si>
    <t>T1098</t>
  </si>
  <si>
    <t>T1099</t>
  </si>
  <si>
    <t>T1100</t>
  </si>
  <si>
    <t>T1101</t>
  </si>
  <si>
    <t>T1102</t>
  </si>
  <si>
    <t>T1103</t>
  </si>
  <si>
    <t>T1104</t>
  </si>
  <si>
    <t>T1105</t>
  </si>
  <si>
    <t>C165</t>
  </si>
  <si>
    <t>T1106</t>
  </si>
  <si>
    <t>T1107</t>
  </si>
  <si>
    <t>C181</t>
  </si>
  <si>
    <t>T1108</t>
  </si>
  <si>
    <t>T1109</t>
  </si>
  <si>
    <t>C186</t>
  </si>
  <si>
    <t>T1110</t>
  </si>
  <si>
    <t>T1111</t>
  </si>
  <si>
    <t>T1112</t>
  </si>
  <si>
    <t>T1113</t>
  </si>
  <si>
    <t>T1114</t>
  </si>
  <si>
    <t>C127</t>
  </si>
  <si>
    <t>T1115</t>
  </si>
  <si>
    <t>T1116</t>
  </si>
  <si>
    <t>T1117</t>
  </si>
  <si>
    <t>C179</t>
  </si>
  <si>
    <t>T1118</t>
  </si>
  <si>
    <t>T1119</t>
  </si>
  <si>
    <t>T1120</t>
  </si>
  <si>
    <t>C132</t>
  </si>
  <si>
    <t>T1121</t>
  </si>
  <si>
    <t>T1122</t>
  </si>
  <si>
    <t>T1123</t>
  </si>
  <si>
    <t>C135</t>
  </si>
  <si>
    <t>T1124</t>
  </si>
  <si>
    <t>T1125</t>
  </si>
  <si>
    <t>T1126</t>
  </si>
  <si>
    <t>C123</t>
  </si>
  <si>
    <t>T1127</t>
  </si>
  <si>
    <t>T1128</t>
  </si>
  <si>
    <t>T1129</t>
  </si>
  <si>
    <t>T1130</t>
  </si>
  <si>
    <t>C184</t>
  </si>
  <si>
    <t>T1131</t>
  </si>
  <si>
    <t>T1132</t>
  </si>
  <si>
    <t>T1133</t>
  </si>
  <si>
    <t>T1134</t>
  </si>
  <si>
    <t>T1135</t>
  </si>
  <si>
    <t>T1136</t>
  </si>
  <si>
    <t>T1137</t>
  </si>
  <si>
    <t>T1138</t>
  </si>
  <si>
    <t>T1139</t>
  </si>
  <si>
    <t>T1140</t>
  </si>
  <si>
    <t>T1141</t>
  </si>
  <si>
    <t>T1142</t>
  </si>
  <si>
    <t>T1143</t>
  </si>
  <si>
    <t>T1144</t>
  </si>
  <si>
    <t>T1145</t>
  </si>
  <si>
    <t>C199</t>
  </si>
  <si>
    <t>T1146</t>
  </si>
  <si>
    <t>C188</t>
  </si>
  <si>
    <t>T1147</t>
  </si>
  <si>
    <t>C105</t>
  </si>
  <si>
    <t>T1148</t>
  </si>
  <si>
    <t>T1149</t>
  </si>
  <si>
    <t>T1150</t>
  </si>
  <si>
    <t>C189</t>
  </si>
  <si>
    <t>T1151</t>
  </si>
  <si>
    <t>T1152</t>
  </si>
  <si>
    <t>T1153</t>
  </si>
  <si>
    <t>T1154</t>
  </si>
  <si>
    <t>T1155</t>
  </si>
  <si>
    <t>T1156</t>
  </si>
  <si>
    <t>T1157</t>
  </si>
  <si>
    <t>C138</t>
  </si>
  <si>
    <t>T1158</t>
  </si>
  <si>
    <t>T1159</t>
  </si>
  <si>
    <t>T1160</t>
  </si>
  <si>
    <t>T1161</t>
  </si>
  <si>
    <t>T1162</t>
  </si>
  <si>
    <t>T1163</t>
  </si>
  <si>
    <t>C116</t>
  </si>
  <si>
    <t>T1164</t>
  </si>
  <si>
    <t>C191</t>
  </si>
  <si>
    <t>T1165</t>
  </si>
  <si>
    <t>C117</t>
  </si>
  <si>
    <t>T1166</t>
  </si>
  <si>
    <t>C167</t>
  </si>
  <si>
    <t>T1167</t>
  </si>
  <si>
    <t>T1168</t>
  </si>
  <si>
    <t>T1169</t>
  </si>
  <si>
    <t>T1170</t>
  </si>
  <si>
    <t>T1171</t>
  </si>
  <si>
    <t>T1172</t>
  </si>
  <si>
    <t>T1173</t>
  </si>
  <si>
    <t>C111</t>
  </si>
  <si>
    <t>T1174</t>
  </si>
  <si>
    <t>T1175</t>
  </si>
  <si>
    <t>T1176</t>
  </si>
  <si>
    <t>T1177</t>
  </si>
  <si>
    <t>T1178</t>
  </si>
  <si>
    <t>T1179</t>
  </si>
  <si>
    <t>T1180</t>
  </si>
  <si>
    <t>T1181</t>
  </si>
  <si>
    <t>T1182</t>
  </si>
  <si>
    <t>T1183</t>
  </si>
  <si>
    <t>C140</t>
  </si>
  <si>
    <t>T1184</t>
  </si>
  <si>
    <t>T1185</t>
  </si>
  <si>
    <t>T1186</t>
  </si>
  <si>
    <t>T1187</t>
  </si>
  <si>
    <t>C101</t>
  </si>
  <si>
    <t>T1188</t>
  </si>
  <si>
    <t>T1189</t>
  </si>
  <si>
    <t>T1190</t>
  </si>
  <si>
    <t>T1191</t>
  </si>
  <si>
    <t>T1192</t>
  </si>
  <si>
    <t>T1193</t>
  </si>
  <si>
    <t>T1194</t>
  </si>
  <si>
    <t>T1195</t>
  </si>
  <si>
    <t>C112</t>
  </si>
  <si>
    <t>T1196</t>
  </si>
  <si>
    <t>T1197</t>
  </si>
  <si>
    <t>T1198</t>
  </si>
  <si>
    <t>T1199</t>
  </si>
  <si>
    <t>T1200</t>
  </si>
  <si>
    <t>T1201</t>
  </si>
  <si>
    <t>T1202</t>
  </si>
  <si>
    <t>T1203</t>
  </si>
  <si>
    <t>T1204</t>
  </si>
  <si>
    <t>T1205</t>
  </si>
  <si>
    <t>T1206</t>
  </si>
  <si>
    <t>T1207</t>
  </si>
  <si>
    <t>T1208</t>
  </si>
  <si>
    <t>T1209</t>
  </si>
  <si>
    <t>T1210</t>
  </si>
  <si>
    <t>T1211</t>
  </si>
  <si>
    <t>T1212</t>
  </si>
  <si>
    <t>T1213</t>
  </si>
  <si>
    <t>T1214</t>
  </si>
  <si>
    <t>T1215</t>
  </si>
  <si>
    <t>T1216</t>
  </si>
  <si>
    <t>T1217</t>
  </si>
  <si>
    <t>T1218</t>
  </si>
  <si>
    <t>C126</t>
  </si>
  <si>
    <t>T1219</t>
  </si>
  <si>
    <t>T1220</t>
  </si>
  <si>
    <t>T1221</t>
  </si>
  <si>
    <t>C173</t>
  </si>
  <si>
    <t>T1222</t>
  </si>
  <si>
    <t>C134</t>
  </si>
  <si>
    <t>T1223</t>
  </si>
  <si>
    <t>T1224</t>
  </si>
  <si>
    <t>T1225</t>
  </si>
  <si>
    <t>C164</t>
  </si>
  <si>
    <t>T1226</t>
  </si>
  <si>
    <t>T1227</t>
  </si>
  <si>
    <t>T1228</t>
  </si>
  <si>
    <t>T1229</t>
  </si>
  <si>
    <t>T1230</t>
  </si>
  <si>
    <t>T1231</t>
  </si>
  <si>
    <t>T1232</t>
  </si>
  <si>
    <t>T1233</t>
  </si>
  <si>
    <t>T1234</t>
  </si>
  <si>
    <t>T1235</t>
  </si>
  <si>
    <t>T1236</t>
  </si>
  <si>
    <t>T1237</t>
  </si>
  <si>
    <t>T1238</t>
  </si>
  <si>
    <t>T1239</t>
  </si>
  <si>
    <t>T1240</t>
  </si>
  <si>
    <t>T1241</t>
  </si>
  <si>
    <t>T1242</t>
  </si>
  <si>
    <t>T1243</t>
  </si>
  <si>
    <t>T1244</t>
  </si>
  <si>
    <t>T1245</t>
  </si>
  <si>
    <t>T1246</t>
  </si>
  <si>
    <t>T1247</t>
  </si>
  <si>
    <t>T1248</t>
  </si>
  <si>
    <t>T1249</t>
  </si>
  <si>
    <t>T1250</t>
  </si>
  <si>
    <t>T1251</t>
  </si>
  <si>
    <t>T1252</t>
  </si>
  <si>
    <t>T1253</t>
  </si>
  <si>
    <t>T1254</t>
  </si>
  <si>
    <t>C107</t>
  </si>
  <si>
    <t>T1255</t>
  </si>
  <si>
    <t>T1256</t>
  </si>
  <si>
    <t>T1257</t>
  </si>
  <si>
    <t>T1258</t>
  </si>
  <si>
    <t>T1259</t>
  </si>
  <si>
    <t>T1260</t>
  </si>
  <si>
    <t>T1261</t>
  </si>
  <si>
    <t>T1262</t>
  </si>
  <si>
    <t>T1263</t>
  </si>
  <si>
    <t>T1264</t>
  </si>
  <si>
    <t>T1265</t>
  </si>
  <si>
    <t>T1266</t>
  </si>
  <si>
    <t>T1267</t>
  </si>
  <si>
    <t>T1268</t>
  </si>
  <si>
    <t>C146</t>
  </si>
  <si>
    <t>T1269</t>
  </si>
  <si>
    <t>T1270</t>
  </si>
  <si>
    <t>T1271</t>
  </si>
  <si>
    <t>T1272</t>
  </si>
  <si>
    <t>T1273</t>
  </si>
  <si>
    <t>T1274</t>
  </si>
  <si>
    <t>T1275</t>
  </si>
  <si>
    <t>T1276</t>
  </si>
  <si>
    <t>T1277</t>
  </si>
  <si>
    <t>T1278</t>
  </si>
  <si>
    <t>T1279</t>
  </si>
  <si>
    <t>T1280</t>
  </si>
  <si>
    <t>T1281</t>
  </si>
  <si>
    <t>T1282</t>
  </si>
  <si>
    <t>T1283</t>
  </si>
  <si>
    <t>C103</t>
  </si>
  <si>
    <t>T1284</t>
  </si>
  <si>
    <t>T1285</t>
  </si>
  <si>
    <t>T1286</t>
  </si>
  <si>
    <t>T1287</t>
  </si>
  <si>
    <t>T1288</t>
  </si>
  <si>
    <t>T1289</t>
  </si>
  <si>
    <t>T1290</t>
  </si>
  <si>
    <t>T1291</t>
  </si>
  <si>
    <t>T1292</t>
  </si>
  <si>
    <t>T1293</t>
  </si>
  <si>
    <t>T1294</t>
  </si>
  <si>
    <t>T1295</t>
  </si>
  <si>
    <t>T1296</t>
  </si>
  <si>
    <t>T1297</t>
  </si>
  <si>
    <t>T1298</t>
  </si>
  <si>
    <t>T1299</t>
  </si>
  <si>
    <t>C104</t>
  </si>
  <si>
    <t>T1300</t>
  </si>
  <si>
    <t>T1301</t>
  </si>
  <si>
    <t>T1302</t>
  </si>
  <si>
    <t>T1303</t>
  </si>
  <si>
    <t>T1304</t>
  </si>
  <si>
    <t>C154</t>
  </si>
  <si>
    <t>T1305</t>
  </si>
  <si>
    <t>T1306</t>
  </si>
  <si>
    <t>T1307</t>
  </si>
  <si>
    <t>T1308</t>
  </si>
  <si>
    <t>C129</t>
  </si>
  <si>
    <t>T1309</t>
  </si>
  <si>
    <t>T1310</t>
  </si>
  <si>
    <t>T1311</t>
  </si>
  <si>
    <t>T1312</t>
  </si>
  <si>
    <t>T1313</t>
  </si>
  <si>
    <t>T1314</t>
  </si>
  <si>
    <t>T1315</t>
  </si>
  <si>
    <t>T1316</t>
  </si>
  <si>
    <t>C160</t>
  </si>
  <si>
    <t>T1317</t>
  </si>
  <si>
    <t>T1318</t>
  </si>
  <si>
    <t>T1319</t>
  </si>
  <si>
    <t>T1320</t>
  </si>
  <si>
    <t>T1321</t>
  </si>
  <si>
    <t>T1322</t>
  </si>
  <si>
    <t>T1323</t>
  </si>
  <si>
    <t>T1324</t>
  </si>
  <si>
    <t>T1325</t>
  </si>
  <si>
    <t>T1326</t>
  </si>
  <si>
    <t>T1327</t>
  </si>
  <si>
    <t>T1328</t>
  </si>
  <si>
    <t>T1329</t>
  </si>
  <si>
    <t>T1330</t>
  </si>
  <si>
    <t>T1331</t>
  </si>
  <si>
    <t>T1332</t>
  </si>
  <si>
    <t>T1333</t>
  </si>
  <si>
    <t>T1334</t>
  </si>
  <si>
    <t>T1335</t>
  </si>
  <si>
    <t>T1336</t>
  </si>
  <si>
    <t>T1337</t>
  </si>
  <si>
    <t>T1338</t>
  </si>
  <si>
    <t>T1339</t>
  </si>
  <si>
    <t>T1340</t>
  </si>
  <si>
    <t>T1341</t>
  </si>
  <si>
    <t>T1342</t>
  </si>
  <si>
    <t>T1343</t>
  </si>
  <si>
    <t>T1344</t>
  </si>
  <si>
    <t>T1345</t>
  </si>
  <si>
    <t>T1346</t>
  </si>
  <si>
    <t>T1347</t>
  </si>
  <si>
    <t>T1348</t>
  </si>
  <si>
    <t>T1349</t>
  </si>
  <si>
    <t>T1350</t>
  </si>
  <si>
    <t>T1351</t>
  </si>
  <si>
    <t>T1352</t>
  </si>
  <si>
    <t>T1353</t>
  </si>
  <si>
    <t>T1354</t>
  </si>
  <si>
    <t>T1355</t>
  </si>
  <si>
    <t>T1356</t>
  </si>
  <si>
    <t>T1357</t>
  </si>
  <si>
    <t>T1358</t>
  </si>
  <si>
    <t>T1359</t>
  </si>
  <si>
    <t>T1360</t>
  </si>
  <si>
    <t>T1361</t>
  </si>
  <si>
    <t>T1362</t>
  </si>
  <si>
    <t>T1363</t>
  </si>
  <si>
    <t>T1364</t>
  </si>
  <si>
    <t>T1365</t>
  </si>
  <si>
    <t>T1366</t>
  </si>
  <si>
    <t>T1367</t>
  </si>
  <si>
    <t>T1368</t>
  </si>
  <si>
    <t>T1369</t>
  </si>
  <si>
    <t>T1370</t>
  </si>
  <si>
    <t>T1371</t>
  </si>
  <si>
    <t>T1372</t>
  </si>
  <si>
    <t>T1373</t>
  </si>
  <si>
    <t>T1374</t>
  </si>
  <si>
    <t>T1375</t>
  </si>
  <si>
    <t>T1376</t>
  </si>
  <si>
    <t>T1377</t>
  </si>
  <si>
    <t>T1378</t>
  </si>
  <si>
    <t>T1379</t>
  </si>
  <si>
    <t>T1380</t>
  </si>
  <si>
    <t>T1381</t>
  </si>
  <si>
    <t>T1382</t>
  </si>
  <si>
    <t>T1383</t>
  </si>
  <si>
    <t>T1384</t>
  </si>
  <si>
    <t>T1385</t>
  </si>
  <si>
    <t>T1386</t>
  </si>
  <si>
    <t>T1387</t>
  </si>
  <si>
    <t>T1388</t>
  </si>
  <si>
    <t>T1389</t>
  </si>
  <si>
    <t>T1390</t>
  </si>
  <si>
    <t>T1391</t>
  </si>
  <si>
    <t>T1392</t>
  </si>
  <si>
    <t>T1393</t>
  </si>
  <si>
    <t>T1394</t>
  </si>
  <si>
    <t>T1395</t>
  </si>
  <si>
    <t>T1396</t>
  </si>
  <si>
    <t>T1397</t>
  </si>
  <si>
    <t>T1398</t>
  </si>
  <si>
    <t>T1399</t>
  </si>
  <si>
    <t>T1400</t>
  </si>
  <si>
    <t>T1401</t>
  </si>
  <si>
    <t>T1402</t>
  </si>
  <si>
    <t>T1403</t>
  </si>
  <si>
    <t>T1404</t>
  </si>
  <si>
    <t>T1405</t>
  </si>
  <si>
    <t>T1406</t>
  </si>
  <si>
    <t>T1407</t>
  </si>
  <si>
    <t>C161</t>
  </si>
  <si>
    <t>T1408</t>
  </si>
  <si>
    <t>T1409</t>
  </si>
  <si>
    <t>T1410</t>
  </si>
  <si>
    <t>T1411</t>
  </si>
  <si>
    <t>T1412</t>
  </si>
  <si>
    <t>T1413</t>
  </si>
  <si>
    <t>T1414</t>
  </si>
  <si>
    <t>T1415</t>
  </si>
  <si>
    <t>T1416</t>
  </si>
  <si>
    <t>T1417</t>
  </si>
  <si>
    <t>T1418</t>
  </si>
  <si>
    <t>T1419</t>
  </si>
  <si>
    <t>T1420</t>
  </si>
  <si>
    <t>T1421</t>
  </si>
  <si>
    <t>T1422</t>
  </si>
  <si>
    <t>T1423</t>
  </si>
  <si>
    <t>T1424</t>
  </si>
  <si>
    <t>T1425</t>
  </si>
  <si>
    <t>T1426</t>
  </si>
  <si>
    <t>T1427</t>
  </si>
  <si>
    <t>T1428</t>
  </si>
  <si>
    <t>T1429</t>
  </si>
  <si>
    <t>T1430</t>
  </si>
  <si>
    <t>T1431</t>
  </si>
  <si>
    <t>T1432</t>
  </si>
  <si>
    <t>T1433</t>
  </si>
  <si>
    <t>T1434</t>
  </si>
  <si>
    <t>T1435</t>
  </si>
  <si>
    <t>T1436</t>
  </si>
  <si>
    <t>T1437</t>
  </si>
  <si>
    <t>T1438</t>
  </si>
  <si>
    <t>T1439</t>
  </si>
  <si>
    <t>T1440</t>
  </si>
  <si>
    <t>T1441</t>
  </si>
  <si>
    <t>T1442</t>
  </si>
  <si>
    <t>T1443</t>
  </si>
  <si>
    <t>T1444</t>
  </si>
  <si>
    <t>T1445</t>
  </si>
  <si>
    <t>T1446</t>
  </si>
  <si>
    <t>T1447</t>
  </si>
  <si>
    <t>T1448</t>
  </si>
  <si>
    <t>T1449</t>
  </si>
  <si>
    <t>T1450</t>
  </si>
  <si>
    <t>T1451</t>
  </si>
  <si>
    <t>T1452</t>
  </si>
  <si>
    <t>T1453</t>
  </si>
  <si>
    <t>T1454</t>
  </si>
  <si>
    <t>T1455</t>
  </si>
  <si>
    <t>T1456</t>
  </si>
  <si>
    <t>T1457</t>
  </si>
  <si>
    <t>T1458</t>
  </si>
  <si>
    <t>T1459</t>
  </si>
  <si>
    <t>T1460</t>
  </si>
  <si>
    <t>T1461</t>
  </si>
  <si>
    <t>T1462</t>
  </si>
  <si>
    <t>T1463</t>
  </si>
  <si>
    <t>T1464</t>
  </si>
  <si>
    <t>T1465</t>
  </si>
  <si>
    <t>T1466</t>
  </si>
  <si>
    <t>T1467</t>
  </si>
  <si>
    <t>T1468</t>
  </si>
  <si>
    <t>T1469</t>
  </si>
  <si>
    <t>T1470</t>
  </si>
  <si>
    <t>C137</t>
  </si>
  <si>
    <t>T1471</t>
  </si>
  <si>
    <t>T1472</t>
  </si>
  <si>
    <t>T1473</t>
  </si>
  <si>
    <t>T1474</t>
  </si>
  <si>
    <t>T1475</t>
  </si>
  <si>
    <t>T1476</t>
  </si>
  <si>
    <t>T1477</t>
  </si>
  <si>
    <t>T1478</t>
  </si>
  <si>
    <t>T1479</t>
  </si>
  <si>
    <t>T1480</t>
  </si>
  <si>
    <t>T1481</t>
  </si>
  <si>
    <t>T1482</t>
  </si>
  <si>
    <t>T1483</t>
  </si>
  <si>
    <t>T1484</t>
  </si>
  <si>
    <t>T1485</t>
  </si>
  <si>
    <t>T1486</t>
  </si>
  <si>
    <t>T1487</t>
  </si>
  <si>
    <t>T1488</t>
  </si>
  <si>
    <t>T1489</t>
  </si>
  <si>
    <t>T1490</t>
  </si>
  <si>
    <t>T1491</t>
  </si>
  <si>
    <t>T1492</t>
  </si>
  <si>
    <t>T1493</t>
  </si>
  <si>
    <t>T1494</t>
  </si>
  <si>
    <t>T1495</t>
  </si>
  <si>
    <t>T1496</t>
  </si>
  <si>
    <t>T1497</t>
  </si>
  <si>
    <t>T1498</t>
  </si>
  <si>
    <t>T1499</t>
  </si>
  <si>
    <t>Transaction_Number</t>
  </si>
  <si>
    <t xml:space="preserve">Month </t>
  </si>
  <si>
    <t>Year</t>
  </si>
  <si>
    <t>Full_Date</t>
  </si>
  <si>
    <t>Male Sales</t>
  </si>
  <si>
    <t>Female Sales</t>
  </si>
  <si>
    <t>Electronics Sales</t>
  </si>
  <si>
    <t>Beauty Sales</t>
  </si>
  <si>
    <t>Fashion Sales</t>
  </si>
  <si>
    <t>Home Sales</t>
  </si>
  <si>
    <t>Sports Sales</t>
  </si>
  <si>
    <t>Mobile_Money</t>
  </si>
  <si>
    <t>Bank_Transfer</t>
  </si>
  <si>
    <t/>
  </si>
  <si>
    <t>Total Revenue</t>
  </si>
  <si>
    <t>Average Order Value</t>
  </si>
  <si>
    <t>Row Labels</t>
  </si>
  <si>
    <t>Sum of Quantity</t>
  </si>
  <si>
    <t>Sum of Total_Sales</t>
  </si>
  <si>
    <t>Sum of Average_Sale_Price</t>
  </si>
  <si>
    <t>Jan</t>
  </si>
  <si>
    <t>Feb</t>
  </si>
  <si>
    <t>Mar</t>
  </si>
  <si>
    <t>Apr</t>
  </si>
  <si>
    <t>May</t>
  </si>
  <si>
    <t>Jun</t>
  </si>
  <si>
    <t>Jul</t>
  </si>
  <si>
    <t>Aug</t>
  </si>
  <si>
    <t>Sep</t>
  </si>
  <si>
    <t>Oct</t>
  </si>
  <si>
    <t>Nov</t>
  </si>
  <si>
    <t>Dec</t>
  </si>
  <si>
    <t>Grand Total</t>
  </si>
  <si>
    <t>Average of Customer_Rating</t>
  </si>
  <si>
    <t>Statistics</t>
  </si>
  <si>
    <t>Unit Price</t>
  </si>
  <si>
    <t>Mean</t>
  </si>
  <si>
    <t>Median</t>
  </si>
  <si>
    <t>Mode</t>
  </si>
  <si>
    <t>Standard Deviation</t>
  </si>
  <si>
    <t>Variance</t>
  </si>
  <si>
    <t>Correlation (Total Sales vs Unit Price)</t>
  </si>
  <si>
    <t>Covariance (Total Sales vs Unit Price)</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</si>
  <si>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</si>
  <si>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</si>
  <si>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</si>
  <si>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</si>
  <si>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</si>
  <si>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</si>
  <si>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</si>
  <si>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</si>
  <si>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</si>
  <si>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</si>
  <si>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</si>
  <si>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</si>
  <si>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</si>
  <si>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</si>
  <si>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</si>
  <si>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</si>
  <si>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</si>
  <si>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</si>
  <si>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</si>
  <si>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</si>
  <si>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</si>
  <si>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</si>
  <si>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</si>
  <si>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</si>
  <si>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t-Test: Two-Sample Assuming Unequal Variances</t>
  </si>
  <si>
    <t>Variable 1</t>
  </si>
  <si>
    <t>Variable 2</t>
  </si>
  <si>
    <t>Hypothesized Mean Difference</t>
  </si>
  <si>
    <t>P(T&lt;=t) one-tail</t>
  </si>
  <si>
    <t>t Critical one-tail</t>
  </si>
  <si>
    <t>P(T&lt;=t) two-tail</t>
  </si>
  <si>
    <t>t Critical two-tail</t>
  </si>
  <si>
    <t>Anova: Single Factor</t>
  </si>
  <si>
    <t>SUMMARY</t>
  </si>
  <si>
    <t>Groups</t>
  </si>
  <si>
    <t>Count</t>
  </si>
  <si>
    <t>Sum</t>
  </si>
  <si>
    <t>Average</t>
  </si>
  <si>
    <t>Source of Variation</t>
  </si>
  <si>
    <t>F crit</t>
  </si>
  <si>
    <t>Between Groups</t>
  </si>
  <si>
    <t>Within Groups</t>
  </si>
  <si>
    <t>Average Unit Price</t>
  </si>
  <si>
    <t>Target_Revenue</t>
  </si>
  <si>
    <t>Actual Revenue</t>
  </si>
  <si>
    <t>In order to achieve a target revenue of $800,000.00, average unit price must increase from $608.19 to $1,600.00, or alternatively increase transaction volume</t>
  </si>
  <si>
    <t>Data Table: Revenue Sensitivity Analysis</t>
  </si>
  <si>
    <t>Forecasting Model</t>
  </si>
  <si>
    <t>Month</t>
  </si>
  <si>
    <t>Actual Sales</t>
  </si>
  <si>
    <t>Forecasted Sales</t>
  </si>
  <si>
    <t>Next Jan</t>
  </si>
  <si>
    <t>Next Feb</t>
  </si>
  <si>
    <t>Monte Carlo Simulation</t>
  </si>
  <si>
    <t>Scenario</t>
  </si>
  <si>
    <t>Random Factor</t>
  </si>
  <si>
    <t>Simulated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</si>
</sst>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
  </numFmts>
  <fonts count="6" x14ac:knownFonts="1">
    <font>
      <sz val="11"/>
      <color theme="1"/>
      <name val="Aptos Narrow"/>
      <family val="2"/>
      <scheme val="minor"/>
    </font>
    <font>
      <b/>
      <sz val="11"/>
      <color theme="1"/>
      <name val="Aptos Narrow"/>
      <family val="2"/>
      <scheme val="minor"/>
    </font>
    <font>
      <sz val="11"/>
      <color theme="1"/>
      <name val="Aptos Narrow"/>
      <scheme val="minor"/>
    </font>
    <font>
      <sz val="11"/>
      <color theme="1"/>
      <name val="Calibri"/>
    </font>
    <font>
      <i/>
      <sz val="11"/>
      <color theme="1"/>
      <name val="Aptos Narrow"/>
      <family val="2"/>
      <scheme val="minor"/>
    </font>
    <font>
      <sz val="11"/>
      <color theme="1"/>
      <name val="Aptos Narrow"/>
      <family val="2"/>
      <scheme val="minor"/>
    </font>
  </fonts>
  <fills count="2">
    <fill>
      <patternFill patternType="none"/>
    </fill>
    <fill>
      <patternFill patternType="gray125"/>
    </fill>
  </fills>
  <borders count="3">
    <border>
      <left/>
      <right/>
      <top/>
      <bottom/>
      <diagonal/>
    </border>
    <border>
      <left/>
      <right/>
      <top style="medium">
        <color indexed="64"/>
      </top>
      <bottom style="thin">
        <color indexed="64"/>
      </bottom>
      <diagonal/>
    </border>
    <border>
      <left/>
      <right/>
      <top/>
      <bottom style="medium">
        <color indexed="64"/>
      </bottom>
      <diagonal/>
    </border>
  </borders>
  <cellStyleXfs count="3">
    <xf numFmtId="0" fontId="0" fillId="0" borderId="0"/>
    <xf numFmtId="0" fontId="2" fillId="0" borderId="0"/>
    <xf numFmtId="43" fontId="5" fillId="0" borderId="0" applyFont="0" applyFill="0" applyBorder="0" applyAlignment="0" applyProtection="0"/>
  </cellStyleXfs>
  <cellXfs count="16">
    <xf numFmtId="0" fontId="0" fillId="0" borderId="0" xfId="0"/>
    <xf numFmtId="0" fontId="2" fillId="0" borderId="0" xfId="0" applyFont="1"/>
    <xf numFmtId="14" fontId="3" fillId="0" borderId="0" xfId="0" applyNumberFormat="1" applyFont="1"/>
    <xf numFmtId="0" fontId="2" fillId="0" borderId="0" xfId="1"/>
    <xf numFmtId="14" fontId="0" fillId="0" borderId="0" xfId="0" applyNumberFormat="1"/>
    <xf numFmtId="0" fontId="1" fillId="0" borderId="0" xfId="0" applyFont="1"/>
    <xf numFmtId="0" fontId="1" fillId="0" borderId="0" xfId="0" applyFont="1" applyAlignment="1">
      <alignment horizontal="center"/>
    </xf>
    <xf numFmtId="0" fontId="0" fillId="0" borderId="0" xfId="0" applyAlignment="1">
      <alignment horizontal="left"/>
    </xf>
    <xf numFmtId="164" fontId="0" fillId="0" borderId="0" xfId="0" applyNumberFormat="1"/>
    <xf numFmtId="0" fontId="0" fillId="0" borderId="0" xfId="0" pivotButton="1"/>
    <xf numFmtId="0" fontId="4" fillId="0" borderId="1" xfId="0" applyFont="1" applyBorder="1" applyAlignment="1">
      <alignment horizontal="centerContinuous"/>
    </xf>
    <xf numFmtId="0" fontId="0" fillId="0" borderId="2" xfId="0" applyBorder="1"/>
    <xf numFmtId="0" fontId="4" fillId="0" borderId="1" xfId="0" applyFont="1" applyBorder="1" applyAlignment="1">
      <alignment horizontal="center"/>
    </xf>
    <xf numFmtId="43" fontId="0" fillId="0" borderId="0" xfId="2" applyFont="1"/>
    <xf numFmtId="0" fontId="0" fillId="0" borderId="0" xfId="0" applyAlignment="1">
      <alignment textRotation="255"/>
    </xf>
    <xf numFmtId="43" fontId="0" fillId="0" borderId="0" xfId="0" applyNumberFormat="1"/>
  </cellXfs>
  <cellStyles count="3">
    <cellStyle name="Comma" xfId="2" builtinId="3"/>
    <cellStyle name="Normal" xfId="0" builtinId="0"/>
    <cellStyle name="Normal 2" xfId="1" xr:uid="{E7E1234F-2D28-4815-9834-482C34499DB9}"/>
  </cellStyles>
  <dxfs count="3">
    <dxf>
      <numFmt numFmtId="164" formatCode="0.000"/>
    </dxf>
    <dxf>
      <numFmt numFmtId="0" formatCode="General"/>
    </dxf>
    <dxf>
      <numFmt numFmtId="164" formatCode="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 Dashboard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Sum of Quantity</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16</c:v>
              </c:pt>
              <c:pt idx="1">
                <c:v>36</c:v>
              </c:pt>
              <c:pt idx="2">
                <c:v>20</c:v>
              </c:pt>
              <c:pt idx="3">
                <c:v>36</c:v>
              </c:pt>
              <c:pt idx="4">
                <c:v>14</c:v>
              </c:pt>
              <c:pt idx="5">
                <c:v>24</c:v>
              </c:pt>
              <c:pt idx="6">
                <c:v>24</c:v>
              </c:pt>
              <c:pt idx="7">
                <c:v>18</c:v>
              </c:pt>
              <c:pt idx="8">
                <c:v>19</c:v>
              </c:pt>
              <c:pt idx="9">
                <c:v>34</c:v>
              </c:pt>
              <c:pt idx="10">
                <c:v>29</c:v>
              </c:pt>
              <c:pt idx="11">
                <c:v>17</c:v>
              </c:pt>
            </c:numLit>
          </c:val>
          <c:smooth val="0"/>
          <c:extLst>
            <c:ext xmlns:c16="http://schemas.microsoft.com/office/drawing/2014/chart" uri="{C3380CC4-5D6E-409C-BE32-E72D297353CC}">
              <c16:uniqueId val="{00000000-5E50-4774-AD2D-2ED5D123F728}"/>
            </c:ext>
          </c:extLst>
        </c:ser>
        <c:ser>
          <c:idx val="1"/>
          <c:order val="1"/>
          <c:tx>
            <c:v>Sum of Total_Sales</c:v>
          </c:tx>
          <c:spPr>
            <a:ln w="28575" cap="rnd">
              <a:solidFill>
                <a:schemeClr val="accent2"/>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9219.1304999999993</c:v>
              </c:pt>
              <c:pt idx="1">
                <c:v>18126.701000000001</c:v>
              </c:pt>
              <c:pt idx="2">
                <c:v>14335.538</c:v>
              </c:pt>
              <c:pt idx="3">
                <c:v>16894.151000000002</c:v>
              </c:pt>
              <c:pt idx="4">
                <c:v>10797.753999999999</c:v>
              </c:pt>
              <c:pt idx="5">
                <c:v>15328.462499999998</c:v>
              </c:pt>
              <c:pt idx="6">
                <c:v>17348.677</c:v>
              </c:pt>
              <c:pt idx="7">
                <c:v>12937.035000000002</c:v>
              </c:pt>
              <c:pt idx="8">
                <c:v>11929.949000000001</c:v>
              </c:pt>
              <c:pt idx="9">
                <c:v>11334.579</c:v>
              </c:pt>
              <c:pt idx="10">
                <c:v>14616.981</c:v>
              </c:pt>
              <c:pt idx="11">
                <c:v>13019.824000000001</c:v>
              </c:pt>
            </c:numLit>
          </c:val>
          <c:smooth val="0"/>
          <c:extLst>
            <c:ext xmlns:c16="http://schemas.microsoft.com/office/drawing/2014/chart" uri="{C3380CC4-5D6E-409C-BE32-E72D297353CC}">
              <c16:uniqueId val="{00000001-5E50-4774-AD2D-2ED5D123F728}"/>
            </c:ext>
          </c:extLst>
        </c:ser>
        <c:ser>
          <c:idx val="2"/>
          <c:order val="2"/>
          <c:tx>
            <c:v>Sum of Average_Sale_Price</c:v>
          </c:tx>
          <c:spPr>
            <a:ln w="28575" cap="rnd">
              <a:solidFill>
                <a:schemeClr val="accent3"/>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576.19565624999996</c:v>
              </c:pt>
              <c:pt idx="1">
                <c:v>503.51947222222225</c:v>
              </c:pt>
              <c:pt idx="2">
                <c:v>716.77690000000007</c:v>
              </c:pt>
              <c:pt idx="3">
                <c:v>469.28197222222229</c:v>
              </c:pt>
              <c:pt idx="4">
                <c:v>771.26814285714283</c:v>
              </c:pt>
              <c:pt idx="5">
                <c:v>638.68593749999991</c:v>
              </c:pt>
              <c:pt idx="6">
                <c:v>722.86154166666665</c:v>
              </c:pt>
              <c:pt idx="7">
                <c:v>718.72416666666675</c:v>
              </c:pt>
              <c:pt idx="8">
                <c:v>627.89205263157896</c:v>
              </c:pt>
              <c:pt idx="9">
                <c:v>333.36997058823528</c:v>
              </c:pt>
              <c:pt idx="10">
                <c:v>504.03382758620688</c:v>
              </c:pt>
              <c:pt idx="11">
                <c:v>765.87200000000007</c:v>
              </c:pt>
            </c:numLit>
          </c:val>
          <c:smooth val="0"/>
          <c:extLst>
            <c:ext xmlns:c16="http://schemas.microsoft.com/office/drawing/2014/chart" uri="{C3380CC4-5D6E-409C-BE32-E72D297353CC}">
              <c16:uniqueId val="{00000002-5E50-4774-AD2D-2ED5D123F728}"/>
            </c:ext>
          </c:extLst>
        </c:ser>
        <c:dLbls>
          <c:showLegendKey val="0"/>
          <c:showVal val="0"/>
          <c:showCatName val="0"/>
          <c:showSerName val="0"/>
          <c:showPercent val="0"/>
          <c:showBubbleSize val="0"/>
        </c:dLbls>
        <c:smooth val="0"/>
        <c:axId val="1723871679"/>
        <c:axId val="1723885599"/>
      </c:lineChart>
      <c:catAx>
        <c:axId val="172387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885599"/>
        <c:crosses val="autoZero"/>
        <c:auto val="1"/>
        <c:lblAlgn val="ctr"/>
        <c:lblOffset val="100"/>
        <c:noMultiLvlLbl val="0"/>
      </c:catAx>
      <c:valAx>
        <c:axId val="1723885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871679"/>
        <c:crosses val="autoZero"/>
        <c:crossBetween val="between"/>
      </c:valAx>
      <c:spPr>
        <a:noFill/>
        <a:ln>
          <a:noFill/>
        </a:ln>
        <a:effectLst/>
      </c:spPr>
    </c:plotArea>
    <c:legend>
      <c:legendPos val="r"/>
      <c:layout>
        <c:manualLayout>
          <c:xMode val="edge"/>
          <c:yMode val="edge"/>
          <c:x val="0.70742957130358708"/>
          <c:y val="0.28754556722076413"/>
          <c:w val="0.29257037162525718"/>
          <c:h val="0.286397365108383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5"/>
              <c:pt idx="0">
                <c:v>Beauty</c:v>
              </c:pt>
              <c:pt idx="1">
                <c:v>Electronics</c:v>
              </c:pt>
              <c:pt idx="2">
                <c:v>Fashion</c:v>
              </c:pt>
              <c:pt idx="3">
                <c:v>Home</c:v>
              </c:pt>
              <c:pt idx="4">
                <c:v>Sports</c:v>
              </c:pt>
            </c:strLit>
          </c:cat>
          <c:val>
            <c:numLit>
              <c:formatCode>General</c:formatCode>
              <c:ptCount val="5"/>
              <c:pt idx="0">
                <c:v>147252.48549999995</c:v>
              </c:pt>
              <c:pt idx="1">
                <c:v>138906.39750000002</c:v>
              </c:pt>
              <c:pt idx="2">
                <c:v>139533.29799999998</c:v>
              </c:pt>
              <c:pt idx="3">
                <c:v>84891.953999999969</c:v>
              </c:pt>
              <c:pt idx="4">
                <c:v>165888.78200000004</c:v>
              </c:pt>
            </c:numLit>
          </c:val>
          <c:extLst>
            <c:ext xmlns:c16="http://schemas.microsoft.com/office/drawing/2014/chart" uri="{C3380CC4-5D6E-409C-BE32-E72D297353CC}">
              <c16:uniqueId val="{00000000-7881-4FBC-B0D5-6BEB8111289B}"/>
            </c:ext>
          </c:extLst>
        </c:ser>
        <c:dLbls>
          <c:showLegendKey val="0"/>
          <c:showVal val="0"/>
          <c:showCatName val="0"/>
          <c:showSerName val="0"/>
          <c:showPercent val="0"/>
          <c:showBubbleSize val="0"/>
        </c:dLbls>
        <c:gapWidth val="182"/>
        <c:axId val="1613963775"/>
        <c:axId val="1613964255"/>
      </c:barChart>
      <c:catAx>
        <c:axId val="1613963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964255"/>
        <c:crosses val="autoZero"/>
        <c:auto val="1"/>
        <c:lblAlgn val="ctr"/>
        <c:lblOffset val="100"/>
        <c:noMultiLvlLbl val="0"/>
      </c:catAx>
      <c:valAx>
        <c:axId val="1613964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96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Performance Tracker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Average of Customer_Rating</c:v>
          </c:tx>
          <c:spPr>
            <a:solidFill>
              <a:schemeClr val="accent1"/>
            </a:solidFill>
            <a:ln>
              <a:noFill/>
            </a:ln>
            <a:effectLst/>
          </c:spPr>
          <c:invertIfNegative val="0"/>
          <c:cat>
            <c:strLit>
              <c:ptCount val="5"/>
              <c:pt idx="0">
                <c:v>Beauty</c:v>
              </c:pt>
              <c:pt idx="1">
                <c:v>Electronics</c:v>
              </c:pt>
              <c:pt idx="2">
                <c:v>Fashion</c:v>
              </c:pt>
              <c:pt idx="3">
                <c:v>Home</c:v>
              </c:pt>
              <c:pt idx="4">
                <c:v>Sports</c:v>
              </c:pt>
            </c:strLit>
          </c:cat>
          <c:val>
            <c:numLit>
              <c:formatCode>General</c:formatCode>
              <c:ptCount val="5"/>
              <c:pt idx="0">
                <c:v>2.8837209302325579</c:v>
              </c:pt>
              <c:pt idx="1">
                <c:v>3.2048192771084336</c:v>
              </c:pt>
              <c:pt idx="2">
                <c:v>3.0789473684210527</c:v>
              </c:pt>
              <c:pt idx="3">
                <c:v>3.3015873015873014</c:v>
              </c:pt>
              <c:pt idx="4">
                <c:v>2.7647058823529411</c:v>
              </c:pt>
            </c:numLit>
          </c:val>
          <c:extLst>
            <c:ext xmlns:c16="http://schemas.microsoft.com/office/drawing/2014/chart" uri="{C3380CC4-5D6E-409C-BE32-E72D297353CC}">
              <c16:uniqueId val="{00000000-FA21-4DE4-B881-3F1311D833A2}"/>
            </c:ext>
          </c:extLst>
        </c:ser>
        <c:ser>
          <c:idx val="1"/>
          <c:order val="1"/>
          <c:tx>
            <c:v>Sum of Quantity</c:v>
          </c:tx>
          <c:spPr>
            <a:solidFill>
              <a:schemeClr val="accent2"/>
            </a:solidFill>
            <a:ln>
              <a:noFill/>
            </a:ln>
            <a:effectLst/>
          </c:spPr>
          <c:invertIfNegative val="0"/>
          <c:cat>
            <c:strLit>
              <c:ptCount val="5"/>
              <c:pt idx="0">
                <c:v>Beauty</c:v>
              </c:pt>
              <c:pt idx="1">
                <c:v>Electronics</c:v>
              </c:pt>
              <c:pt idx="2">
                <c:v>Fashion</c:v>
              </c:pt>
              <c:pt idx="3">
                <c:v>Home</c:v>
              </c:pt>
              <c:pt idx="4">
                <c:v>Sports</c:v>
              </c:pt>
            </c:strLit>
          </c:cat>
          <c:val>
            <c:numLit>
              <c:formatCode>General</c:formatCode>
              <c:ptCount val="5"/>
              <c:pt idx="0">
                <c:v>274</c:v>
              </c:pt>
              <c:pt idx="1">
                <c:v>252</c:v>
              </c:pt>
              <c:pt idx="2">
                <c:v>257</c:v>
              </c:pt>
              <c:pt idx="3">
                <c:v>170</c:v>
              </c:pt>
              <c:pt idx="4">
                <c:v>287</c:v>
              </c:pt>
            </c:numLit>
          </c:val>
          <c:extLst>
            <c:ext xmlns:c16="http://schemas.microsoft.com/office/drawing/2014/chart" uri="{C3380CC4-5D6E-409C-BE32-E72D297353CC}">
              <c16:uniqueId val="{00000001-FA21-4DE4-B881-3F1311D833A2}"/>
            </c:ext>
          </c:extLst>
        </c:ser>
        <c:ser>
          <c:idx val="2"/>
          <c:order val="2"/>
          <c:tx>
            <c:v>Sum of Total_Sales</c:v>
          </c:tx>
          <c:spPr>
            <a:solidFill>
              <a:schemeClr val="accent3"/>
            </a:solidFill>
            <a:ln>
              <a:noFill/>
            </a:ln>
            <a:effectLst/>
          </c:spPr>
          <c:invertIfNegative val="0"/>
          <c:cat>
            <c:strLit>
              <c:ptCount val="5"/>
              <c:pt idx="0">
                <c:v>Beauty</c:v>
              </c:pt>
              <c:pt idx="1">
                <c:v>Electronics</c:v>
              </c:pt>
              <c:pt idx="2">
                <c:v>Fashion</c:v>
              </c:pt>
              <c:pt idx="3">
                <c:v>Home</c:v>
              </c:pt>
              <c:pt idx="4">
                <c:v>Sports</c:v>
              </c:pt>
            </c:strLit>
          </c:cat>
          <c:val>
            <c:numLit>
              <c:formatCode>General</c:formatCode>
              <c:ptCount val="5"/>
              <c:pt idx="0">
                <c:v>147252.48549999995</c:v>
              </c:pt>
              <c:pt idx="1">
                <c:v>138906.39750000002</c:v>
              </c:pt>
              <c:pt idx="2">
                <c:v>139533.29799999998</c:v>
              </c:pt>
              <c:pt idx="3">
                <c:v>84891.953999999969</c:v>
              </c:pt>
              <c:pt idx="4">
                <c:v>165888.78200000004</c:v>
              </c:pt>
            </c:numLit>
          </c:val>
          <c:extLst>
            <c:ext xmlns:c16="http://schemas.microsoft.com/office/drawing/2014/chart" uri="{C3380CC4-5D6E-409C-BE32-E72D297353CC}">
              <c16:uniqueId val="{00000002-FA21-4DE4-B881-3F1311D833A2}"/>
            </c:ext>
          </c:extLst>
        </c:ser>
        <c:dLbls>
          <c:showLegendKey val="0"/>
          <c:showVal val="0"/>
          <c:showCatName val="0"/>
          <c:showSerName val="0"/>
          <c:showPercent val="0"/>
          <c:showBubbleSize val="0"/>
        </c:dLbls>
        <c:gapWidth val="182"/>
        <c:axId val="1916109791"/>
        <c:axId val="1916110271"/>
      </c:barChart>
      <c:catAx>
        <c:axId val="1916109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110271"/>
        <c:crosses val="autoZero"/>
        <c:auto val="1"/>
        <c:lblAlgn val="ctr"/>
        <c:lblOffset val="100"/>
        <c:noMultiLvlLbl val="0"/>
      </c:catAx>
      <c:valAx>
        <c:axId val="19161102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10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139700</xdr:colOff>
      <xdr:row>19</xdr:row>
      <xdr:rowOff>0</xdr:rowOff>
    </xdr:from>
    <xdr:to>
      <xdr:col>2</xdr:col>
      <xdr:colOff>825500</xdr:colOff>
      <xdr:row>33</xdr:row>
      <xdr:rowOff>41272</xdr:rowOff>
    </xdr:to>
    <mc:AlternateContent xmlns:mc="http://schemas.openxmlformats.org/markup-compatibility/2006" xmlns:a14="http://schemas.microsoft.com/office/drawing/2010/main">
      <mc:Choice Requires="a14">
        <xdr:graphicFrame macro="">
          <xdr:nvGraphicFramePr>
            <xdr:cNvPr id="2" name="Product_Category">
              <a:extLst>
                <a:ext uri="{FF2B5EF4-FFF2-40B4-BE49-F238E27FC236}">
                  <a16:creationId xmlns:a16="http://schemas.microsoft.com/office/drawing/2014/main" id="{486B45E5-B085-45DC-99D6-ECC823DB9701}"/>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39700" y="3498850"/>
              <a:ext cx="24257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457200</xdr:colOff>
      <xdr:row>19</xdr:row>
      <xdr:rowOff>0</xdr:rowOff>
    </xdr:from>
    <xdr:to>
      <xdr:col>5</xdr:col>
      <xdr:colOff>1003300</xdr:colOff>
      <xdr:row>26</xdr:row>
      <xdr:rowOff>82550</xdr:rowOff>
    </xdr:to>
    <mc:AlternateContent xmlns:mc="http://schemas.openxmlformats.org/markup-compatibility/2006" xmlns:tsle="http://schemas.microsoft.com/office/drawing/2012/timeslicer">
      <mc:Choice Requires="tsle">
        <xdr:graphicFrame macro="">
          <xdr:nvGraphicFramePr>
            <xdr:cNvPr id="3" name="Full_Date">
              <a:extLst>
                <a:ext uri="{FF2B5EF4-FFF2-40B4-BE49-F238E27FC236}">
                  <a16:creationId xmlns:a16="http://schemas.microsoft.com/office/drawing/2014/main" id="{A32D43F0-F329-49C2-B170-D23D1894C098}"/>
                </a:ext>
              </a:extLst>
            </xdr:cNvPr>
            <xdr:cNvGraphicFramePr/>
          </xdr:nvGraphicFramePr>
          <xdr:xfrm>
            <a:off x="0" y="0"/>
            <a:ext cx="0" cy="0"/>
          </xdr:xfrm>
          <a:graphic>
            <a:graphicData uri="http://schemas.microsoft.com/office/drawing/2012/timeslicer">
              <tsle:timeslicer name="Full_Date"/>
            </a:graphicData>
          </a:graphic>
        </xdr:graphicFrame>
      </mc:Choice>
      <mc:Fallback xmlns="">
        <xdr:sp macro="" textlink="">
          <xdr:nvSpPr>
            <xdr:cNvPr id="0" name=""/>
            <xdr:cNvSpPr>
              <a:spLocks noTextEdit="1"/>
            </xdr:cNvSpPr>
          </xdr:nvSpPr>
          <xdr:spPr>
            <a:xfrm>
              <a:off x="3194050" y="349885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6</xdr:col>
      <xdr:colOff>0</xdr:colOff>
      <xdr:row>1</xdr:row>
      <xdr:rowOff>3175</xdr:rowOff>
    </xdr:from>
    <xdr:to>
      <xdr:col>13</xdr:col>
      <xdr:colOff>304800</xdr:colOff>
      <xdr:row>15</xdr:row>
      <xdr:rowOff>168275</xdr:rowOff>
    </xdr:to>
    <xdr:graphicFrame macro="">
      <xdr:nvGraphicFramePr>
        <xdr:cNvPr id="4" name="Chart 3">
          <a:extLst>
            <a:ext uri="{FF2B5EF4-FFF2-40B4-BE49-F238E27FC236}">
              <a16:creationId xmlns:a16="http://schemas.microsoft.com/office/drawing/2014/main" id="{073E9B53-E8BE-43FB-929D-BBFB49E1D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1263650</xdr:colOff>
      <xdr:row>36</xdr:row>
      <xdr:rowOff>6350</xdr:rowOff>
    </xdr:from>
    <xdr:to>
      <xdr:col>13</xdr:col>
      <xdr:colOff>482600</xdr:colOff>
      <xdr:row>50</xdr:row>
      <xdr:rowOff>171450</xdr:rowOff>
    </xdr:to>
    <xdr:graphicFrame macro="">
      <xdr:nvGraphicFramePr>
        <xdr:cNvPr id="5" name="Chart 4">
          <a:extLst>
            <a:ext uri="{FF2B5EF4-FFF2-40B4-BE49-F238E27FC236}">
              <a16:creationId xmlns:a16="http://schemas.microsoft.com/office/drawing/2014/main" id="{8ACC3601-6143-4552-98FA-0C5B9084D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6350</xdr:colOff>
      <xdr:row>54</xdr:row>
      <xdr:rowOff>3175</xdr:rowOff>
    </xdr:from>
    <xdr:to>
      <xdr:col>11</xdr:col>
      <xdr:colOff>25400</xdr:colOff>
      <xdr:row>68</xdr:row>
      <xdr:rowOff>168275</xdr:rowOff>
    </xdr:to>
    <xdr:graphicFrame macro="">
      <xdr:nvGraphicFramePr>
        <xdr:cNvPr id="6" name="Chart 5">
          <a:extLst>
            <a:ext uri="{FF2B5EF4-FFF2-40B4-BE49-F238E27FC236}">
              <a16:creationId xmlns:a16="http://schemas.microsoft.com/office/drawing/2014/main" id="{6E4A45A9-9128-4611-82F1-1DA70412B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esktop/JEMIMA/KNUST/Y1S1/AI%20150/NextMakers%20Internship/Level%202/Data%20Cleaning.xlsx" TargetMode="External"/><Relationship Id="rId2" Type="http://schemas.openxmlformats.org/officeDocument/2006/relationships/externalLinkPath" Target="file:///C:\Users\jemim\Desktop\JEMIMA\KNUST\Y1S1\AI%20150\NextMakers%20Internship\Level%202\Data%20Cleaning.xlsx" TargetMode="External"/><Relationship Id="rId1" Type="http://schemas.openxmlformats.org/officeDocument/2006/relationships/externalLinkPath" Target="/Users/jemim/Desktop/JEMIMA/KNUST/Y1S1/AI%20150/NextMakers%20Internship/Level%202/Data%20Clean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 Cleaning"/>
      <sheetName val="Documentation"/>
      <sheetName val="Sales Dashboard"/>
      <sheetName val="Statistical Analysis"/>
    </sheetNames>
    <sheetDataSet>
      <sheetData sheetId="0">
        <row r="2">
          <cell r="M2">
            <v>551.41</v>
          </cell>
          <cell r="N2">
            <v>4</v>
          </cell>
          <cell r="O2">
            <v>20</v>
          </cell>
          <cell r="S2">
            <v>1764.5119999999999</v>
          </cell>
        </row>
        <row r="3">
          <cell r="M3">
            <v>903.62</v>
          </cell>
          <cell r="N3">
            <v>1</v>
          </cell>
          <cell r="O3">
            <v>20</v>
          </cell>
          <cell r="S3">
            <v>722.89599999999996</v>
          </cell>
        </row>
        <row r="4">
          <cell r="M4">
            <v>788.35</v>
          </cell>
          <cell r="N4">
            <v>1</v>
          </cell>
          <cell r="O4">
            <v>15</v>
          </cell>
          <cell r="S4">
            <v>670.09749999999997</v>
          </cell>
        </row>
        <row r="5">
          <cell r="M5">
            <v>752.7</v>
          </cell>
          <cell r="N5">
            <v>2</v>
          </cell>
          <cell r="O5">
            <v>10</v>
          </cell>
          <cell r="S5">
            <v>1354.86</v>
          </cell>
        </row>
        <row r="6">
          <cell r="M6">
            <v>435.8</v>
          </cell>
          <cell r="N6">
            <v>3</v>
          </cell>
          <cell r="O6">
            <v>10</v>
          </cell>
          <cell r="S6">
            <v>1176.6600000000001</v>
          </cell>
        </row>
        <row r="7">
          <cell r="M7">
            <v>1012.91</v>
          </cell>
          <cell r="N7">
            <v>2</v>
          </cell>
          <cell r="O7">
            <v>15</v>
          </cell>
          <cell r="S7">
            <v>1721.9469999999999</v>
          </cell>
        </row>
        <row r="8">
          <cell r="M8">
            <v>576.12</v>
          </cell>
          <cell r="N8">
            <v>4</v>
          </cell>
          <cell r="O8">
            <v>15</v>
          </cell>
          <cell r="S8">
            <v>1958.808</v>
          </cell>
        </row>
        <row r="9">
          <cell r="M9">
            <v>1175.3399999999999</v>
          </cell>
          <cell r="N9">
            <v>2</v>
          </cell>
          <cell r="O9">
            <v>15</v>
          </cell>
          <cell r="S9">
            <v>1998.078</v>
          </cell>
        </row>
        <row r="10">
          <cell r="M10">
            <v>768.29</v>
          </cell>
          <cell r="N10">
            <v>1</v>
          </cell>
          <cell r="O10">
            <v>10</v>
          </cell>
          <cell r="S10">
            <v>691.46100000000001</v>
          </cell>
        </row>
        <row r="11">
          <cell r="M11">
            <v>168.99</v>
          </cell>
          <cell r="N11">
            <v>4</v>
          </cell>
          <cell r="O11">
            <v>15</v>
          </cell>
          <cell r="S11">
            <v>574.56600000000003</v>
          </cell>
        </row>
        <row r="12">
          <cell r="M12">
            <v>817.89</v>
          </cell>
          <cell r="N12">
            <v>1</v>
          </cell>
          <cell r="O12">
            <v>0</v>
          </cell>
          <cell r="S12">
            <v>817.89</v>
          </cell>
        </row>
        <row r="13">
          <cell r="M13">
            <v>403.62</v>
          </cell>
          <cell r="N13">
            <v>3</v>
          </cell>
          <cell r="O13">
            <v>20</v>
          </cell>
          <cell r="S13">
            <v>968.68799999999999</v>
          </cell>
        </row>
        <row r="14">
          <cell r="M14">
            <v>829.87</v>
          </cell>
          <cell r="N14">
            <v>1</v>
          </cell>
          <cell r="O14">
            <v>20</v>
          </cell>
          <cell r="S14">
            <v>663.89599999999996</v>
          </cell>
        </row>
        <row r="15">
          <cell r="M15">
            <v>102.18</v>
          </cell>
          <cell r="N15">
            <v>1</v>
          </cell>
          <cell r="O15">
            <v>5</v>
          </cell>
          <cell r="S15">
            <v>97.070999999999998</v>
          </cell>
        </row>
        <row r="16">
          <cell r="M16">
            <v>226.36</v>
          </cell>
          <cell r="N16">
            <v>2</v>
          </cell>
          <cell r="O16">
            <v>5</v>
          </cell>
          <cell r="S16">
            <v>430.084</v>
          </cell>
        </row>
        <row r="17">
          <cell r="M17">
            <v>1029.77</v>
          </cell>
          <cell r="N17">
            <v>1</v>
          </cell>
          <cell r="O17">
            <v>20</v>
          </cell>
          <cell r="S17">
            <v>823.81600000000003</v>
          </cell>
        </row>
        <row r="18">
          <cell r="M18">
            <v>288.07</v>
          </cell>
          <cell r="N18">
            <v>4</v>
          </cell>
          <cell r="O18">
            <v>0</v>
          </cell>
          <cell r="S18">
            <v>1152.28</v>
          </cell>
        </row>
        <row r="19">
          <cell r="M19">
            <v>1007.71</v>
          </cell>
          <cell r="N19">
            <v>4</v>
          </cell>
          <cell r="O19">
            <v>10</v>
          </cell>
          <cell r="S19">
            <v>3627.7559999999999</v>
          </cell>
        </row>
        <row r="20">
          <cell r="M20">
            <v>349.55</v>
          </cell>
          <cell r="N20">
            <v>3</v>
          </cell>
          <cell r="O20">
            <v>10</v>
          </cell>
          <cell r="S20">
            <v>943.78499999999997</v>
          </cell>
        </row>
        <row r="21">
          <cell r="M21">
            <v>778.6</v>
          </cell>
          <cell r="N21">
            <v>4</v>
          </cell>
          <cell r="O21">
            <v>0</v>
          </cell>
          <cell r="S21">
            <v>3114.4</v>
          </cell>
        </row>
        <row r="22">
          <cell r="M22">
            <v>839.1</v>
          </cell>
          <cell r="N22">
            <v>2</v>
          </cell>
          <cell r="O22">
            <v>10</v>
          </cell>
          <cell r="S22">
            <v>1510.38</v>
          </cell>
        </row>
        <row r="23">
          <cell r="M23">
            <v>624.92999999999995</v>
          </cell>
          <cell r="N23">
            <v>3</v>
          </cell>
          <cell r="O23">
            <v>15</v>
          </cell>
          <cell r="S23">
            <v>1593.5715</v>
          </cell>
        </row>
        <row r="24">
          <cell r="M24">
            <v>380.27</v>
          </cell>
          <cell r="N24">
            <v>4</v>
          </cell>
          <cell r="O24">
            <v>20</v>
          </cell>
          <cell r="S24">
            <v>1216.864</v>
          </cell>
        </row>
        <row r="25">
          <cell r="M25">
            <v>270.92</v>
          </cell>
          <cell r="N25">
            <v>2</v>
          </cell>
          <cell r="O25">
            <v>20</v>
          </cell>
          <cell r="S25">
            <v>433.47199999999998</v>
          </cell>
        </row>
        <row r="26">
          <cell r="M26">
            <v>59.16</v>
          </cell>
          <cell r="N26">
            <v>4</v>
          </cell>
          <cell r="O26">
            <v>0</v>
          </cell>
          <cell r="S26">
            <v>236.64</v>
          </cell>
        </row>
        <row r="27">
          <cell r="M27">
            <v>378.66</v>
          </cell>
          <cell r="N27">
            <v>4</v>
          </cell>
          <cell r="O27">
            <v>10</v>
          </cell>
          <cell r="S27">
            <v>1363.1759999999999</v>
          </cell>
        </row>
        <row r="28">
          <cell r="M28">
            <v>790.73</v>
          </cell>
          <cell r="N28">
            <v>1</v>
          </cell>
          <cell r="O28">
            <v>5</v>
          </cell>
          <cell r="S28">
            <v>751.19349999999997</v>
          </cell>
        </row>
        <row r="29">
          <cell r="M29">
            <v>1127.2</v>
          </cell>
          <cell r="N29">
            <v>4</v>
          </cell>
          <cell r="O29">
            <v>5</v>
          </cell>
          <cell r="S29">
            <v>4283.3599999999997</v>
          </cell>
        </row>
        <row r="30">
          <cell r="M30">
            <v>1048.02</v>
          </cell>
          <cell r="N30">
            <v>4</v>
          </cell>
          <cell r="O30">
            <v>10</v>
          </cell>
          <cell r="S30">
            <v>3772.8719999999998</v>
          </cell>
        </row>
        <row r="31">
          <cell r="M31">
            <v>923.96</v>
          </cell>
          <cell r="N31">
            <v>2</v>
          </cell>
          <cell r="O31">
            <v>5</v>
          </cell>
          <cell r="S31">
            <v>1755.5239999999999</v>
          </cell>
        </row>
        <row r="32">
          <cell r="M32">
            <v>950.37</v>
          </cell>
          <cell r="N32">
            <v>2</v>
          </cell>
          <cell r="O32">
            <v>0</v>
          </cell>
          <cell r="S32">
            <v>1900.74</v>
          </cell>
        </row>
        <row r="33">
          <cell r="M33">
            <v>804.68</v>
          </cell>
          <cell r="N33">
            <v>1</v>
          </cell>
          <cell r="O33">
            <v>0</v>
          </cell>
          <cell r="S33">
            <v>804.68</v>
          </cell>
        </row>
        <row r="34">
          <cell r="M34">
            <v>327.14</v>
          </cell>
          <cell r="N34">
            <v>4</v>
          </cell>
          <cell r="O34">
            <v>10</v>
          </cell>
          <cell r="S34">
            <v>1177.704</v>
          </cell>
        </row>
        <row r="35">
          <cell r="M35">
            <v>1090.49</v>
          </cell>
          <cell r="N35">
            <v>1</v>
          </cell>
          <cell r="O35">
            <v>5</v>
          </cell>
          <cell r="S35">
            <v>1035.9655</v>
          </cell>
        </row>
        <row r="36">
          <cell r="M36">
            <v>811.46</v>
          </cell>
          <cell r="N36">
            <v>4</v>
          </cell>
          <cell r="O36">
            <v>0</v>
          </cell>
          <cell r="S36">
            <v>3245.84</v>
          </cell>
        </row>
        <row r="37">
          <cell r="M37">
            <v>681.32</v>
          </cell>
          <cell r="N37">
            <v>3</v>
          </cell>
          <cell r="O37">
            <v>0</v>
          </cell>
          <cell r="S37">
            <v>2043.96</v>
          </cell>
        </row>
        <row r="38">
          <cell r="M38">
            <v>150.97</v>
          </cell>
          <cell r="N38">
            <v>3</v>
          </cell>
          <cell r="O38">
            <v>15</v>
          </cell>
          <cell r="S38">
            <v>384.9735</v>
          </cell>
        </row>
        <row r="39">
          <cell r="M39">
            <v>547.53</v>
          </cell>
          <cell r="N39">
            <v>1</v>
          </cell>
          <cell r="O39">
            <v>15</v>
          </cell>
          <cell r="S39">
            <v>465.40050000000002</v>
          </cell>
        </row>
        <row r="40">
          <cell r="M40">
            <v>563.22</v>
          </cell>
          <cell r="N40">
            <v>1</v>
          </cell>
          <cell r="O40">
            <v>0</v>
          </cell>
          <cell r="S40">
            <v>563.22</v>
          </cell>
        </row>
        <row r="41">
          <cell r="M41">
            <v>1040.19</v>
          </cell>
          <cell r="N41">
            <v>1</v>
          </cell>
          <cell r="O41">
            <v>10</v>
          </cell>
          <cell r="S41">
            <v>936.17100000000005</v>
          </cell>
        </row>
        <row r="42">
          <cell r="M42">
            <v>665.04</v>
          </cell>
          <cell r="N42">
            <v>2</v>
          </cell>
          <cell r="O42">
            <v>20</v>
          </cell>
          <cell r="S42">
            <v>1064.0640000000001</v>
          </cell>
        </row>
        <row r="43">
          <cell r="M43">
            <v>468.87</v>
          </cell>
          <cell r="N43">
            <v>2</v>
          </cell>
          <cell r="O43">
            <v>20</v>
          </cell>
          <cell r="S43">
            <v>750.19200000000001</v>
          </cell>
        </row>
        <row r="44">
          <cell r="M44">
            <v>1172.6199999999999</v>
          </cell>
          <cell r="N44">
            <v>2</v>
          </cell>
          <cell r="O44">
            <v>0</v>
          </cell>
          <cell r="S44">
            <v>2345.2399999999998</v>
          </cell>
        </row>
        <row r="45">
          <cell r="M45">
            <v>150.65</v>
          </cell>
          <cell r="N45">
            <v>1</v>
          </cell>
          <cell r="O45">
            <v>0</v>
          </cell>
          <cell r="S45">
            <v>150.65</v>
          </cell>
        </row>
        <row r="46">
          <cell r="M46">
            <v>518.61</v>
          </cell>
          <cell r="N46">
            <v>4</v>
          </cell>
          <cell r="O46">
            <v>0</v>
          </cell>
          <cell r="S46">
            <v>2074.44</v>
          </cell>
        </row>
        <row r="47">
          <cell r="M47">
            <v>69.59</v>
          </cell>
          <cell r="N47">
            <v>3</v>
          </cell>
          <cell r="O47">
            <v>10</v>
          </cell>
          <cell r="S47">
            <v>187.893</v>
          </cell>
        </row>
        <row r="48">
          <cell r="M48">
            <v>893.09</v>
          </cell>
          <cell r="N48">
            <v>1</v>
          </cell>
          <cell r="O48">
            <v>15</v>
          </cell>
          <cell r="S48">
            <v>759.12649999999996</v>
          </cell>
        </row>
        <row r="49">
          <cell r="M49">
            <v>1103.33</v>
          </cell>
          <cell r="N49">
            <v>2</v>
          </cell>
          <cell r="O49">
            <v>0</v>
          </cell>
          <cell r="S49">
            <v>2206.66</v>
          </cell>
        </row>
        <row r="50">
          <cell r="M50">
            <v>350.44</v>
          </cell>
          <cell r="N50">
            <v>2</v>
          </cell>
          <cell r="O50">
            <v>0</v>
          </cell>
          <cell r="S50">
            <v>700.88</v>
          </cell>
        </row>
        <row r="51">
          <cell r="M51">
            <v>1032.8399999999999</v>
          </cell>
          <cell r="N51">
            <v>1</v>
          </cell>
          <cell r="O51">
            <v>5</v>
          </cell>
          <cell r="S51">
            <v>981.19799999999998</v>
          </cell>
        </row>
        <row r="52">
          <cell r="M52">
            <v>364.82</v>
          </cell>
          <cell r="N52">
            <v>1</v>
          </cell>
          <cell r="O52">
            <v>10</v>
          </cell>
          <cell r="S52">
            <v>328.33800000000002</v>
          </cell>
        </row>
        <row r="53">
          <cell r="M53">
            <v>1094.71</v>
          </cell>
          <cell r="N53">
            <v>2</v>
          </cell>
          <cell r="O53">
            <v>0</v>
          </cell>
          <cell r="S53">
            <v>2189.42</v>
          </cell>
        </row>
        <row r="54">
          <cell r="M54">
            <v>909.68</v>
          </cell>
          <cell r="N54">
            <v>4</v>
          </cell>
          <cell r="O54">
            <v>5</v>
          </cell>
          <cell r="S54">
            <v>3456.7840000000001</v>
          </cell>
        </row>
        <row r="55">
          <cell r="M55">
            <v>969.79</v>
          </cell>
          <cell r="N55">
            <v>2</v>
          </cell>
          <cell r="O55">
            <v>20</v>
          </cell>
          <cell r="S55">
            <v>1551.664</v>
          </cell>
        </row>
        <row r="56">
          <cell r="M56">
            <v>41.25</v>
          </cell>
          <cell r="N56">
            <v>2</v>
          </cell>
          <cell r="O56">
            <v>0</v>
          </cell>
          <cell r="S56">
            <v>82.5</v>
          </cell>
        </row>
        <row r="57">
          <cell r="M57">
            <v>1156.1199999999999</v>
          </cell>
          <cell r="N57">
            <v>1</v>
          </cell>
          <cell r="O57">
            <v>0</v>
          </cell>
          <cell r="S57">
            <v>1156.1199999999999</v>
          </cell>
        </row>
        <row r="58">
          <cell r="M58">
            <v>877.47</v>
          </cell>
          <cell r="N58">
            <v>4</v>
          </cell>
          <cell r="O58">
            <v>5</v>
          </cell>
          <cell r="S58">
            <v>3334.386</v>
          </cell>
        </row>
        <row r="59">
          <cell r="M59">
            <v>379.61</v>
          </cell>
          <cell r="N59">
            <v>2</v>
          </cell>
          <cell r="O59">
            <v>10</v>
          </cell>
          <cell r="S59">
            <v>683.298</v>
          </cell>
        </row>
        <row r="60">
          <cell r="M60">
            <v>998.69</v>
          </cell>
          <cell r="N60">
            <v>2</v>
          </cell>
          <cell r="O60">
            <v>0</v>
          </cell>
          <cell r="S60">
            <v>1997.38</v>
          </cell>
        </row>
        <row r="61">
          <cell r="M61">
            <v>352.2</v>
          </cell>
          <cell r="N61">
            <v>3</v>
          </cell>
          <cell r="O61">
            <v>20</v>
          </cell>
          <cell r="S61">
            <v>845.28</v>
          </cell>
        </row>
        <row r="62">
          <cell r="M62">
            <v>1049.8499999999999</v>
          </cell>
          <cell r="N62">
            <v>1</v>
          </cell>
          <cell r="O62">
            <v>0</v>
          </cell>
          <cell r="S62">
            <v>1049.8499999999999</v>
          </cell>
        </row>
        <row r="63">
          <cell r="M63">
            <v>152.84</v>
          </cell>
          <cell r="N63">
            <v>3</v>
          </cell>
          <cell r="O63">
            <v>20</v>
          </cell>
          <cell r="S63">
            <v>366.81599999999997</v>
          </cell>
        </row>
        <row r="64">
          <cell r="M64">
            <v>850.35</v>
          </cell>
          <cell r="N64">
            <v>3</v>
          </cell>
          <cell r="O64">
            <v>15</v>
          </cell>
          <cell r="S64">
            <v>2168.3924999999999</v>
          </cell>
        </row>
        <row r="65">
          <cell r="M65">
            <v>658.02</v>
          </cell>
          <cell r="N65">
            <v>2</v>
          </cell>
          <cell r="O65">
            <v>15</v>
          </cell>
          <cell r="S65">
            <v>1118.634</v>
          </cell>
        </row>
        <row r="66">
          <cell r="M66">
            <v>133.91</v>
          </cell>
          <cell r="N66">
            <v>1</v>
          </cell>
          <cell r="O66">
            <v>20</v>
          </cell>
          <cell r="S66">
            <v>107.128</v>
          </cell>
        </row>
        <row r="67">
          <cell r="M67">
            <v>305.43</v>
          </cell>
          <cell r="N67">
            <v>4</v>
          </cell>
          <cell r="O67">
            <v>10</v>
          </cell>
          <cell r="S67">
            <v>1099.548</v>
          </cell>
        </row>
        <row r="68">
          <cell r="M68">
            <v>34.64</v>
          </cell>
          <cell r="N68">
            <v>2</v>
          </cell>
          <cell r="O68">
            <v>0</v>
          </cell>
          <cell r="S68">
            <v>69.28</v>
          </cell>
        </row>
        <row r="69">
          <cell r="M69">
            <v>573.15</v>
          </cell>
          <cell r="N69">
            <v>4</v>
          </cell>
          <cell r="O69">
            <v>0</v>
          </cell>
          <cell r="S69">
            <v>2292.6</v>
          </cell>
        </row>
        <row r="70">
          <cell r="M70">
            <v>375.49</v>
          </cell>
          <cell r="N70">
            <v>4</v>
          </cell>
          <cell r="O70">
            <v>15</v>
          </cell>
          <cell r="S70">
            <v>1276.6659999999999</v>
          </cell>
        </row>
        <row r="71">
          <cell r="M71">
            <v>726.06</v>
          </cell>
          <cell r="N71">
            <v>1</v>
          </cell>
          <cell r="O71">
            <v>20</v>
          </cell>
          <cell r="S71">
            <v>580.84799999999996</v>
          </cell>
        </row>
        <row r="72">
          <cell r="M72">
            <v>370.74</v>
          </cell>
          <cell r="N72">
            <v>3</v>
          </cell>
          <cell r="O72">
            <v>0</v>
          </cell>
          <cell r="S72">
            <v>1112.22</v>
          </cell>
        </row>
        <row r="73">
          <cell r="M73">
            <v>373.9</v>
          </cell>
          <cell r="N73">
            <v>1</v>
          </cell>
          <cell r="O73">
            <v>0</v>
          </cell>
          <cell r="S73">
            <v>373.9</v>
          </cell>
        </row>
        <row r="74">
          <cell r="M74">
            <v>896.97</v>
          </cell>
          <cell r="N74">
            <v>4</v>
          </cell>
          <cell r="O74">
            <v>10</v>
          </cell>
          <cell r="S74">
            <v>3229.0920000000001</v>
          </cell>
        </row>
        <row r="75">
          <cell r="M75">
            <v>76.81</v>
          </cell>
          <cell r="N75">
            <v>2</v>
          </cell>
          <cell r="O75">
            <v>5</v>
          </cell>
          <cell r="S75">
            <v>145.93899999999999</v>
          </cell>
        </row>
        <row r="76">
          <cell r="M76">
            <v>1085.42</v>
          </cell>
          <cell r="N76">
            <v>4</v>
          </cell>
          <cell r="O76">
            <v>15</v>
          </cell>
          <cell r="S76">
            <v>3690.4279999999999</v>
          </cell>
        </row>
        <row r="77">
          <cell r="M77">
            <v>1025.67</v>
          </cell>
          <cell r="N77">
            <v>2</v>
          </cell>
          <cell r="O77">
            <v>15</v>
          </cell>
          <cell r="S77">
            <v>1743.6389999999999</v>
          </cell>
        </row>
        <row r="78">
          <cell r="M78">
            <v>808.01</v>
          </cell>
          <cell r="N78">
            <v>2</v>
          </cell>
          <cell r="O78">
            <v>5</v>
          </cell>
          <cell r="S78">
            <v>1535.2190000000001</v>
          </cell>
        </row>
        <row r="79">
          <cell r="M79">
            <v>720</v>
          </cell>
          <cell r="N79">
            <v>1</v>
          </cell>
          <cell r="O79">
            <v>0</v>
          </cell>
          <cell r="S79">
            <v>720</v>
          </cell>
        </row>
        <row r="80">
          <cell r="M80">
            <v>1072.92</v>
          </cell>
          <cell r="N80">
            <v>4</v>
          </cell>
          <cell r="O80">
            <v>10</v>
          </cell>
          <cell r="S80">
            <v>3862.5120000000002</v>
          </cell>
        </row>
        <row r="81">
          <cell r="M81">
            <v>238.69</v>
          </cell>
          <cell r="N81">
            <v>3</v>
          </cell>
          <cell r="O81">
            <v>10</v>
          </cell>
          <cell r="S81">
            <v>644.46299999999997</v>
          </cell>
        </row>
        <row r="82">
          <cell r="M82">
            <v>113.18</v>
          </cell>
          <cell r="N82">
            <v>4</v>
          </cell>
          <cell r="O82">
            <v>15</v>
          </cell>
          <cell r="S82">
            <v>384.81200000000001</v>
          </cell>
        </row>
        <row r="83">
          <cell r="M83">
            <v>302.62</v>
          </cell>
          <cell r="N83">
            <v>4</v>
          </cell>
          <cell r="O83">
            <v>10</v>
          </cell>
          <cell r="S83">
            <v>1089.432</v>
          </cell>
        </row>
        <row r="84">
          <cell r="M84">
            <v>957.6</v>
          </cell>
          <cell r="N84">
            <v>3</v>
          </cell>
          <cell r="O84">
            <v>5</v>
          </cell>
          <cell r="S84">
            <v>2729.16</v>
          </cell>
        </row>
        <row r="85">
          <cell r="M85">
            <v>60.91</v>
          </cell>
          <cell r="N85">
            <v>1</v>
          </cell>
          <cell r="O85">
            <v>0</v>
          </cell>
          <cell r="S85">
            <v>60.91</v>
          </cell>
        </row>
        <row r="86">
          <cell r="M86">
            <v>707.71</v>
          </cell>
          <cell r="N86">
            <v>4</v>
          </cell>
          <cell r="O86">
            <v>5</v>
          </cell>
          <cell r="S86">
            <v>2689.2979999999998</v>
          </cell>
        </row>
        <row r="87">
          <cell r="M87">
            <v>1194.6199999999999</v>
          </cell>
          <cell r="N87">
            <v>4</v>
          </cell>
          <cell r="O87">
            <v>20</v>
          </cell>
          <cell r="S87">
            <v>3822.7840000000001</v>
          </cell>
        </row>
        <row r="88">
          <cell r="M88">
            <v>1029.72</v>
          </cell>
          <cell r="N88">
            <v>2</v>
          </cell>
          <cell r="O88">
            <v>15</v>
          </cell>
          <cell r="S88">
            <v>1750.5239999999999</v>
          </cell>
        </row>
        <row r="89">
          <cell r="M89">
            <v>635.30999999999995</v>
          </cell>
          <cell r="N89">
            <v>4</v>
          </cell>
          <cell r="O89">
            <v>10</v>
          </cell>
          <cell r="S89">
            <v>2287.116</v>
          </cell>
        </row>
        <row r="90">
          <cell r="M90">
            <v>95.1</v>
          </cell>
          <cell r="N90">
            <v>3</v>
          </cell>
          <cell r="O90">
            <v>20</v>
          </cell>
          <cell r="S90">
            <v>228.24</v>
          </cell>
        </row>
        <row r="91">
          <cell r="M91">
            <v>1001.02</v>
          </cell>
          <cell r="N91">
            <v>2</v>
          </cell>
          <cell r="O91">
            <v>10</v>
          </cell>
          <cell r="S91">
            <v>1801.836</v>
          </cell>
        </row>
        <row r="92">
          <cell r="M92">
            <v>726.79</v>
          </cell>
          <cell r="N92">
            <v>1</v>
          </cell>
          <cell r="O92">
            <v>0</v>
          </cell>
          <cell r="S92">
            <v>726.79</v>
          </cell>
        </row>
        <row r="93">
          <cell r="M93">
            <v>155.62</v>
          </cell>
          <cell r="N93">
            <v>2</v>
          </cell>
          <cell r="O93">
            <v>0</v>
          </cell>
          <cell r="S93">
            <v>311.24</v>
          </cell>
        </row>
        <row r="94">
          <cell r="M94">
            <v>130.75</v>
          </cell>
          <cell r="N94">
            <v>3</v>
          </cell>
          <cell r="O94">
            <v>0</v>
          </cell>
          <cell r="S94">
            <v>392.25</v>
          </cell>
        </row>
        <row r="95">
          <cell r="M95">
            <v>1093.3599999999999</v>
          </cell>
          <cell r="N95">
            <v>3</v>
          </cell>
          <cell r="O95">
            <v>10</v>
          </cell>
          <cell r="S95">
            <v>2952.0720000000001</v>
          </cell>
        </row>
        <row r="96">
          <cell r="M96">
            <v>809.66</v>
          </cell>
          <cell r="N96">
            <v>2</v>
          </cell>
          <cell r="O96">
            <v>20</v>
          </cell>
          <cell r="S96">
            <v>1295.4559999999999</v>
          </cell>
        </row>
        <row r="97">
          <cell r="M97">
            <v>998.56</v>
          </cell>
          <cell r="N97">
            <v>1</v>
          </cell>
          <cell r="O97">
            <v>0</v>
          </cell>
          <cell r="S97">
            <v>998.56</v>
          </cell>
        </row>
        <row r="98">
          <cell r="M98">
            <v>1057.2</v>
          </cell>
          <cell r="N98">
            <v>2</v>
          </cell>
          <cell r="O98">
            <v>20</v>
          </cell>
          <cell r="S98">
            <v>1691.52</v>
          </cell>
        </row>
        <row r="99">
          <cell r="M99">
            <v>694.69</v>
          </cell>
          <cell r="N99">
            <v>1</v>
          </cell>
          <cell r="O99">
            <v>10</v>
          </cell>
          <cell r="S99">
            <v>625.221</v>
          </cell>
        </row>
        <row r="100">
          <cell r="M100">
            <v>630.59</v>
          </cell>
          <cell r="N100">
            <v>2</v>
          </cell>
          <cell r="O100">
            <v>20</v>
          </cell>
          <cell r="S100">
            <v>1008.944</v>
          </cell>
        </row>
        <row r="101">
          <cell r="M101">
            <v>527.9</v>
          </cell>
          <cell r="N101">
            <v>3</v>
          </cell>
          <cell r="O101">
            <v>10</v>
          </cell>
          <cell r="S101">
            <v>1425.33</v>
          </cell>
        </row>
        <row r="102">
          <cell r="M102">
            <v>394</v>
          </cell>
          <cell r="N102">
            <v>4</v>
          </cell>
          <cell r="O102">
            <v>10</v>
          </cell>
          <cell r="S102">
            <v>1418.4</v>
          </cell>
        </row>
        <row r="103">
          <cell r="M103">
            <v>532.82000000000005</v>
          </cell>
          <cell r="N103">
            <v>4</v>
          </cell>
          <cell r="O103">
            <v>15</v>
          </cell>
          <cell r="S103">
            <v>1811.588</v>
          </cell>
        </row>
        <row r="104">
          <cell r="M104">
            <v>933.18</v>
          </cell>
          <cell r="N104">
            <v>1</v>
          </cell>
          <cell r="O104">
            <v>10</v>
          </cell>
          <cell r="S104">
            <v>839.86199999999997</v>
          </cell>
        </row>
        <row r="105">
          <cell r="M105">
            <v>730.27</v>
          </cell>
          <cell r="N105">
            <v>1</v>
          </cell>
          <cell r="O105">
            <v>10</v>
          </cell>
          <cell r="S105">
            <v>657.24300000000005</v>
          </cell>
        </row>
        <row r="106">
          <cell r="M106">
            <v>1073.18</v>
          </cell>
          <cell r="N106">
            <v>1</v>
          </cell>
          <cell r="O106">
            <v>5</v>
          </cell>
          <cell r="S106">
            <v>1019.521</v>
          </cell>
        </row>
        <row r="107">
          <cell r="M107">
            <v>543.19000000000005</v>
          </cell>
          <cell r="N107">
            <v>3</v>
          </cell>
          <cell r="O107">
            <v>0</v>
          </cell>
          <cell r="S107">
            <v>1629.57</v>
          </cell>
        </row>
        <row r="108">
          <cell r="M108">
            <v>736.37</v>
          </cell>
          <cell r="N108">
            <v>2</v>
          </cell>
          <cell r="O108">
            <v>15</v>
          </cell>
          <cell r="S108">
            <v>1251.829</v>
          </cell>
        </row>
        <row r="109">
          <cell r="M109">
            <v>764.94</v>
          </cell>
          <cell r="N109">
            <v>3</v>
          </cell>
          <cell r="O109">
            <v>15</v>
          </cell>
          <cell r="S109">
            <v>1950.597</v>
          </cell>
        </row>
        <row r="110">
          <cell r="M110">
            <v>718.2</v>
          </cell>
          <cell r="N110">
            <v>4</v>
          </cell>
          <cell r="O110">
            <v>15</v>
          </cell>
          <cell r="S110">
            <v>2441.88</v>
          </cell>
        </row>
        <row r="111">
          <cell r="M111">
            <v>849.11</v>
          </cell>
          <cell r="N111">
            <v>1</v>
          </cell>
          <cell r="O111">
            <v>5</v>
          </cell>
          <cell r="S111">
            <v>806.65449999999998</v>
          </cell>
        </row>
        <row r="112">
          <cell r="M112">
            <v>300.17</v>
          </cell>
          <cell r="N112">
            <v>2</v>
          </cell>
          <cell r="O112">
            <v>10</v>
          </cell>
          <cell r="S112">
            <v>540.30600000000004</v>
          </cell>
        </row>
        <row r="113">
          <cell r="M113">
            <v>624.59</v>
          </cell>
          <cell r="N113">
            <v>4</v>
          </cell>
          <cell r="O113">
            <v>0</v>
          </cell>
          <cell r="S113">
            <v>2498.36</v>
          </cell>
        </row>
        <row r="114">
          <cell r="M114">
            <v>142.99</v>
          </cell>
          <cell r="N114">
            <v>4</v>
          </cell>
          <cell r="O114">
            <v>20</v>
          </cell>
          <cell r="S114">
            <v>457.56799999999998</v>
          </cell>
        </row>
        <row r="115">
          <cell r="M115">
            <v>473.72</v>
          </cell>
          <cell r="N115">
            <v>4</v>
          </cell>
          <cell r="O115">
            <v>10</v>
          </cell>
          <cell r="S115">
            <v>1705.3920000000001</v>
          </cell>
        </row>
        <row r="116">
          <cell r="M116">
            <v>595.45000000000005</v>
          </cell>
          <cell r="N116">
            <v>3</v>
          </cell>
          <cell r="O116">
            <v>5</v>
          </cell>
          <cell r="S116">
            <v>1697.0325</v>
          </cell>
        </row>
        <row r="117">
          <cell r="M117">
            <v>789.62</v>
          </cell>
          <cell r="N117">
            <v>1</v>
          </cell>
          <cell r="O117">
            <v>10</v>
          </cell>
          <cell r="S117">
            <v>710.65800000000002</v>
          </cell>
        </row>
        <row r="118">
          <cell r="M118">
            <v>1141.6300000000001</v>
          </cell>
          <cell r="N118">
            <v>4</v>
          </cell>
          <cell r="O118">
            <v>10</v>
          </cell>
          <cell r="S118">
            <v>4109.8680000000004</v>
          </cell>
        </row>
        <row r="119">
          <cell r="M119">
            <v>728.77</v>
          </cell>
          <cell r="N119">
            <v>1</v>
          </cell>
          <cell r="O119">
            <v>5</v>
          </cell>
          <cell r="S119">
            <v>692.33150000000001</v>
          </cell>
        </row>
        <row r="120">
          <cell r="M120">
            <v>897.44</v>
          </cell>
          <cell r="N120">
            <v>3</v>
          </cell>
          <cell r="O120">
            <v>15</v>
          </cell>
          <cell r="S120">
            <v>2288.4720000000002</v>
          </cell>
        </row>
        <row r="121">
          <cell r="M121">
            <v>617.39</v>
          </cell>
          <cell r="N121">
            <v>4</v>
          </cell>
          <cell r="O121">
            <v>15</v>
          </cell>
          <cell r="S121">
            <v>2099.1260000000002</v>
          </cell>
        </row>
        <row r="122">
          <cell r="M122">
            <v>768.24</v>
          </cell>
          <cell r="N122">
            <v>3</v>
          </cell>
          <cell r="O122">
            <v>0</v>
          </cell>
          <cell r="S122">
            <v>2304.7199999999998</v>
          </cell>
        </row>
        <row r="123">
          <cell r="M123">
            <v>103.7</v>
          </cell>
          <cell r="N123">
            <v>3</v>
          </cell>
          <cell r="O123">
            <v>0</v>
          </cell>
          <cell r="S123">
            <v>311.10000000000002</v>
          </cell>
        </row>
        <row r="124">
          <cell r="M124">
            <v>320.18</v>
          </cell>
          <cell r="N124">
            <v>1</v>
          </cell>
          <cell r="O124">
            <v>15</v>
          </cell>
          <cell r="S124">
            <v>272.15300000000002</v>
          </cell>
        </row>
        <row r="125">
          <cell r="M125">
            <v>446.99</v>
          </cell>
          <cell r="N125">
            <v>4</v>
          </cell>
          <cell r="O125">
            <v>20</v>
          </cell>
          <cell r="S125">
            <v>1430.3679999999999</v>
          </cell>
        </row>
        <row r="126">
          <cell r="M126">
            <v>577.54</v>
          </cell>
          <cell r="N126">
            <v>3</v>
          </cell>
          <cell r="O126">
            <v>10</v>
          </cell>
          <cell r="S126">
            <v>1559.3579999999999</v>
          </cell>
        </row>
        <row r="127">
          <cell r="M127">
            <v>73.87</v>
          </cell>
          <cell r="N127">
            <v>4</v>
          </cell>
          <cell r="O127">
            <v>20</v>
          </cell>
          <cell r="S127">
            <v>236.38399999999999</v>
          </cell>
        </row>
        <row r="128">
          <cell r="M128">
            <v>185.23</v>
          </cell>
          <cell r="N128">
            <v>1</v>
          </cell>
          <cell r="O128">
            <v>10</v>
          </cell>
          <cell r="S128">
            <v>166.70699999999999</v>
          </cell>
        </row>
        <row r="129">
          <cell r="M129">
            <v>346.64</v>
          </cell>
          <cell r="N129">
            <v>3</v>
          </cell>
          <cell r="O129">
            <v>15</v>
          </cell>
          <cell r="S129">
            <v>883.93200000000002</v>
          </cell>
        </row>
        <row r="130">
          <cell r="M130">
            <v>1166.4100000000001</v>
          </cell>
          <cell r="N130">
            <v>1</v>
          </cell>
          <cell r="O130">
            <v>0</v>
          </cell>
          <cell r="S130">
            <v>1166.4100000000001</v>
          </cell>
        </row>
        <row r="131">
          <cell r="M131">
            <v>410.99</v>
          </cell>
          <cell r="N131">
            <v>4</v>
          </cell>
          <cell r="O131">
            <v>0</v>
          </cell>
          <cell r="S131">
            <v>1643.96</v>
          </cell>
        </row>
        <row r="132">
          <cell r="M132">
            <v>588.80999999999995</v>
          </cell>
          <cell r="N132">
            <v>4</v>
          </cell>
          <cell r="O132">
            <v>20</v>
          </cell>
          <cell r="S132">
            <v>1884.192</v>
          </cell>
        </row>
        <row r="133">
          <cell r="M133">
            <v>251.4</v>
          </cell>
          <cell r="N133">
            <v>1</v>
          </cell>
          <cell r="O133">
            <v>0</v>
          </cell>
          <cell r="S133">
            <v>251.4</v>
          </cell>
        </row>
        <row r="134">
          <cell r="M134">
            <v>740.72</v>
          </cell>
          <cell r="N134">
            <v>2</v>
          </cell>
          <cell r="O134">
            <v>15</v>
          </cell>
          <cell r="S134">
            <v>1259.2239999999999</v>
          </cell>
        </row>
        <row r="135">
          <cell r="M135">
            <v>351.21</v>
          </cell>
          <cell r="N135">
            <v>3</v>
          </cell>
          <cell r="O135">
            <v>20</v>
          </cell>
          <cell r="S135">
            <v>842.904</v>
          </cell>
        </row>
        <row r="136">
          <cell r="M136">
            <v>264.25</v>
          </cell>
          <cell r="N136">
            <v>4</v>
          </cell>
          <cell r="O136">
            <v>10</v>
          </cell>
          <cell r="S136">
            <v>951.3</v>
          </cell>
        </row>
        <row r="137">
          <cell r="M137">
            <v>629.55999999999995</v>
          </cell>
          <cell r="N137">
            <v>4</v>
          </cell>
          <cell r="O137">
            <v>0</v>
          </cell>
          <cell r="S137">
            <v>2518.2399999999998</v>
          </cell>
        </row>
        <row r="138">
          <cell r="M138">
            <v>26.5</v>
          </cell>
          <cell r="N138">
            <v>3</v>
          </cell>
          <cell r="O138">
            <v>5</v>
          </cell>
          <cell r="S138">
            <v>75.525000000000006</v>
          </cell>
        </row>
        <row r="139">
          <cell r="M139">
            <v>29.04</v>
          </cell>
          <cell r="N139">
            <v>1</v>
          </cell>
          <cell r="O139">
            <v>0</v>
          </cell>
          <cell r="S139">
            <v>29.04</v>
          </cell>
        </row>
        <row r="140">
          <cell r="M140">
            <v>278.5</v>
          </cell>
          <cell r="N140">
            <v>1</v>
          </cell>
          <cell r="O140">
            <v>10</v>
          </cell>
          <cell r="S140">
            <v>250.65</v>
          </cell>
        </row>
        <row r="141">
          <cell r="M141">
            <v>63.33</v>
          </cell>
          <cell r="N141">
            <v>1</v>
          </cell>
          <cell r="O141">
            <v>20</v>
          </cell>
          <cell r="S141">
            <v>50.664000000000001</v>
          </cell>
        </row>
        <row r="142">
          <cell r="M142">
            <v>147.47</v>
          </cell>
          <cell r="N142">
            <v>2</v>
          </cell>
          <cell r="O142">
            <v>10</v>
          </cell>
          <cell r="S142">
            <v>265.44600000000003</v>
          </cell>
        </row>
        <row r="143">
          <cell r="M143">
            <v>419.86</v>
          </cell>
          <cell r="N143">
            <v>2</v>
          </cell>
          <cell r="O143">
            <v>5</v>
          </cell>
          <cell r="S143">
            <v>797.73400000000004</v>
          </cell>
        </row>
        <row r="144">
          <cell r="M144">
            <v>967.05</v>
          </cell>
          <cell r="N144">
            <v>4</v>
          </cell>
          <cell r="O144">
            <v>15</v>
          </cell>
          <cell r="S144">
            <v>3287.97</v>
          </cell>
        </row>
        <row r="145">
          <cell r="M145">
            <v>695.02</v>
          </cell>
          <cell r="N145">
            <v>1</v>
          </cell>
          <cell r="O145">
            <v>0</v>
          </cell>
          <cell r="S145">
            <v>695.02</v>
          </cell>
        </row>
        <row r="146">
          <cell r="M146">
            <v>624.95000000000005</v>
          </cell>
          <cell r="N146">
            <v>3</v>
          </cell>
          <cell r="O146">
            <v>20</v>
          </cell>
          <cell r="S146">
            <v>1499.88</v>
          </cell>
        </row>
        <row r="147">
          <cell r="M147">
            <v>366.32</v>
          </cell>
          <cell r="N147">
            <v>4</v>
          </cell>
          <cell r="O147">
            <v>15</v>
          </cell>
          <cell r="S147">
            <v>1245.4880000000001</v>
          </cell>
        </row>
        <row r="148">
          <cell r="M148">
            <v>1119.47</v>
          </cell>
          <cell r="N148">
            <v>3</v>
          </cell>
          <cell r="O148">
            <v>10</v>
          </cell>
          <cell r="S148">
            <v>3022.569</v>
          </cell>
        </row>
        <row r="149">
          <cell r="M149">
            <v>488.48</v>
          </cell>
          <cell r="N149">
            <v>4</v>
          </cell>
          <cell r="O149">
            <v>20</v>
          </cell>
          <cell r="S149">
            <v>1563.136</v>
          </cell>
        </row>
        <row r="150">
          <cell r="M150">
            <v>122.77</v>
          </cell>
          <cell r="N150">
            <v>2</v>
          </cell>
          <cell r="O150">
            <v>15</v>
          </cell>
          <cell r="S150">
            <v>208.709</v>
          </cell>
        </row>
        <row r="151">
          <cell r="M151">
            <v>748.14</v>
          </cell>
          <cell r="N151">
            <v>4</v>
          </cell>
          <cell r="O151">
            <v>20</v>
          </cell>
          <cell r="S151">
            <v>2394.0479999999998</v>
          </cell>
        </row>
        <row r="152">
          <cell r="M152">
            <v>154.33000000000001</v>
          </cell>
          <cell r="N152">
            <v>2</v>
          </cell>
          <cell r="O152">
            <v>5</v>
          </cell>
          <cell r="S152">
            <v>293.22699999999998</v>
          </cell>
        </row>
        <row r="153">
          <cell r="M153">
            <v>427.36</v>
          </cell>
          <cell r="N153">
            <v>4</v>
          </cell>
          <cell r="O153">
            <v>5</v>
          </cell>
          <cell r="S153">
            <v>1623.9680000000001</v>
          </cell>
        </row>
        <row r="154">
          <cell r="M154">
            <v>618.75</v>
          </cell>
          <cell r="N154">
            <v>1</v>
          </cell>
          <cell r="O154">
            <v>0</v>
          </cell>
          <cell r="S154">
            <v>618.75</v>
          </cell>
        </row>
        <row r="155">
          <cell r="M155">
            <v>1051.58</v>
          </cell>
          <cell r="N155">
            <v>3</v>
          </cell>
          <cell r="O155">
            <v>0</v>
          </cell>
          <cell r="S155">
            <v>3154.74</v>
          </cell>
        </row>
        <row r="156">
          <cell r="M156">
            <v>602.38</v>
          </cell>
          <cell r="N156">
            <v>1</v>
          </cell>
          <cell r="O156">
            <v>5</v>
          </cell>
          <cell r="S156">
            <v>572.26099999999997</v>
          </cell>
        </row>
        <row r="157">
          <cell r="M157">
            <v>848.67</v>
          </cell>
          <cell r="N157">
            <v>4</v>
          </cell>
          <cell r="O157">
            <v>20</v>
          </cell>
          <cell r="S157">
            <v>2715.7440000000001</v>
          </cell>
        </row>
        <row r="158">
          <cell r="M158">
            <v>1191.52</v>
          </cell>
          <cell r="N158">
            <v>4</v>
          </cell>
          <cell r="O158">
            <v>5</v>
          </cell>
          <cell r="S158">
            <v>4527.7759999999998</v>
          </cell>
        </row>
        <row r="159">
          <cell r="M159">
            <v>175.16</v>
          </cell>
          <cell r="N159">
            <v>4</v>
          </cell>
          <cell r="O159">
            <v>0</v>
          </cell>
          <cell r="S159">
            <v>700.64</v>
          </cell>
        </row>
        <row r="160">
          <cell r="M160">
            <v>344.18</v>
          </cell>
          <cell r="N160">
            <v>2</v>
          </cell>
          <cell r="O160">
            <v>5</v>
          </cell>
          <cell r="S160">
            <v>653.94200000000001</v>
          </cell>
        </row>
        <row r="161">
          <cell r="M161">
            <v>485.6</v>
          </cell>
          <cell r="N161">
            <v>3</v>
          </cell>
          <cell r="O161">
            <v>5</v>
          </cell>
          <cell r="S161">
            <v>1383.96</v>
          </cell>
        </row>
        <row r="162">
          <cell r="M162">
            <v>517.76</v>
          </cell>
          <cell r="N162">
            <v>3</v>
          </cell>
          <cell r="O162">
            <v>20</v>
          </cell>
          <cell r="S162">
            <v>1242.624</v>
          </cell>
        </row>
        <row r="163">
          <cell r="M163">
            <v>505</v>
          </cell>
          <cell r="N163">
            <v>4</v>
          </cell>
          <cell r="O163">
            <v>15</v>
          </cell>
          <cell r="S163">
            <v>1717</v>
          </cell>
        </row>
        <row r="164">
          <cell r="M164">
            <v>1090.98</v>
          </cell>
          <cell r="N164">
            <v>4</v>
          </cell>
          <cell r="O164">
            <v>0</v>
          </cell>
          <cell r="S164">
            <v>4363.92</v>
          </cell>
        </row>
        <row r="165">
          <cell r="M165">
            <v>862.56</v>
          </cell>
          <cell r="N165">
            <v>2</v>
          </cell>
          <cell r="O165">
            <v>20</v>
          </cell>
          <cell r="S165">
            <v>1380.096</v>
          </cell>
        </row>
        <row r="166">
          <cell r="M166">
            <v>737.33</v>
          </cell>
          <cell r="N166">
            <v>1</v>
          </cell>
          <cell r="O166">
            <v>5</v>
          </cell>
          <cell r="S166">
            <v>700.46349999999995</v>
          </cell>
        </row>
        <row r="167">
          <cell r="M167">
            <v>385.06</v>
          </cell>
          <cell r="N167">
            <v>1</v>
          </cell>
          <cell r="O167">
            <v>5</v>
          </cell>
          <cell r="S167">
            <v>365.80700000000002</v>
          </cell>
        </row>
        <row r="168">
          <cell r="M168">
            <v>992.07</v>
          </cell>
          <cell r="N168">
            <v>3</v>
          </cell>
          <cell r="O168">
            <v>15</v>
          </cell>
          <cell r="S168">
            <v>2529.7784999999999</v>
          </cell>
        </row>
        <row r="169">
          <cell r="M169">
            <v>1146.97</v>
          </cell>
          <cell r="N169">
            <v>2</v>
          </cell>
          <cell r="O169">
            <v>0</v>
          </cell>
          <cell r="S169">
            <v>2293.94</v>
          </cell>
        </row>
        <row r="170">
          <cell r="M170">
            <v>989.01</v>
          </cell>
          <cell r="N170">
            <v>4</v>
          </cell>
          <cell r="O170">
            <v>0</v>
          </cell>
          <cell r="S170">
            <v>3956.04</v>
          </cell>
        </row>
        <row r="171">
          <cell r="M171">
            <v>21.85</v>
          </cell>
          <cell r="N171">
            <v>3</v>
          </cell>
          <cell r="O171">
            <v>10</v>
          </cell>
          <cell r="S171">
            <v>58.994999999999997</v>
          </cell>
        </row>
        <row r="172">
          <cell r="M172">
            <v>770.95</v>
          </cell>
          <cell r="N172">
            <v>2</v>
          </cell>
          <cell r="O172">
            <v>0</v>
          </cell>
          <cell r="S172">
            <v>1541.9</v>
          </cell>
        </row>
        <row r="173">
          <cell r="M173">
            <v>80.34</v>
          </cell>
          <cell r="N173">
            <v>1</v>
          </cell>
          <cell r="O173">
            <v>15</v>
          </cell>
          <cell r="S173">
            <v>68.289000000000001</v>
          </cell>
        </row>
        <row r="174">
          <cell r="M174">
            <v>323.98</v>
          </cell>
          <cell r="N174">
            <v>2</v>
          </cell>
          <cell r="O174">
            <v>10</v>
          </cell>
          <cell r="S174">
            <v>583.16399999999999</v>
          </cell>
        </row>
        <row r="175">
          <cell r="M175">
            <v>90.24</v>
          </cell>
          <cell r="N175">
            <v>1</v>
          </cell>
          <cell r="O175">
            <v>10</v>
          </cell>
          <cell r="S175">
            <v>81.215999999999994</v>
          </cell>
        </row>
        <row r="176">
          <cell r="M176">
            <v>732.48</v>
          </cell>
          <cell r="N176">
            <v>2</v>
          </cell>
          <cell r="O176">
            <v>5</v>
          </cell>
          <cell r="S176">
            <v>1391.712</v>
          </cell>
        </row>
        <row r="177">
          <cell r="M177">
            <v>830.18</v>
          </cell>
          <cell r="N177">
            <v>3</v>
          </cell>
          <cell r="O177">
            <v>5</v>
          </cell>
          <cell r="S177">
            <v>2366.0129999999999</v>
          </cell>
        </row>
        <row r="178">
          <cell r="M178">
            <v>155.1</v>
          </cell>
          <cell r="N178">
            <v>1</v>
          </cell>
          <cell r="O178">
            <v>0</v>
          </cell>
          <cell r="S178">
            <v>155.1</v>
          </cell>
        </row>
        <row r="179">
          <cell r="M179">
            <v>472.93</v>
          </cell>
          <cell r="N179">
            <v>3</v>
          </cell>
          <cell r="O179">
            <v>10</v>
          </cell>
          <cell r="S179">
            <v>1276.9110000000001</v>
          </cell>
        </row>
        <row r="180">
          <cell r="M180">
            <v>558.36</v>
          </cell>
          <cell r="N180">
            <v>3</v>
          </cell>
          <cell r="O180">
            <v>5</v>
          </cell>
          <cell r="S180">
            <v>1591.326</v>
          </cell>
        </row>
        <row r="181">
          <cell r="M181">
            <v>455.48</v>
          </cell>
          <cell r="N181">
            <v>1</v>
          </cell>
          <cell r="O181">
            <v>15</v>
          </cell>
          <cell r="S181">
            <v>387.15800000000002</v>
          </cell>
        </row>
        <row r="182">
          <cell r="M182">
            <v>162.81</v>
          </cell>
          <cell r="N182">
            <v>1</v>
          </cell>
          <cell r="O182">
            <v>5</v>
          </cell>
          <cell r="S182">
            <v>154.6695</v>
          </cell>
        </row>
        <row r="183">
          <cell r="M183">
            <v>514.36</v>
          </cell>
          <cell r="N183">
            <v>4</v>
          </cell>
          <cell r="O183">
            <v>5</v>
          </cell>
          <cell r="S183">
            <v>1954.568</v>
          </cell>
        </row>
        <row r="184">
          <cell r="M184">
            <v>906.39</v>
          </cell>
          <cell r="N184">
            <v>4</v>
          </cell>
          <cell r="O184">
            <v>10</v>
          </cell>
          <cell r="S184">
            <v>3263.0039999999999</v>
          </cell>
        </row>
        <row r="185">
          <cell r="M185">
            <v>103.79</v>
          </cell>
          <cell r="N185">
            <v>4</v>
          </cell>
          <cell r="O185">
            <v>10</v>
          </cell>
          <cell r="S185">
            <v>373.64400000000001</v>
          </cell>
        </row>
        <row r="186">
          <cell r="M186">
            <v>114.61</v>
          </cell>
          <cell r="N186">
            <v>3</v>
          </cell>
          <cell r="O186">
            <v>20</v>
          </cell>
          <cell r="S186">
            <v>275.06400000000002</v>
          </cell>
        </row>
        <row r="187">
          <cell r="M187">
            <v>438.63</v>
          </cell>
          <cell r="N187">
            <v>3</v>
          </cell>
          <cell r="O187">
            <v>15</v>
          </cell>
          <cell r="S187">
            <v>1118.5065</v>
          </cell>
        </row>
        <row r="188">
          <cell r="M188">
            <v>1131.24</v>
          </cell>
          <cell r="N188">
            <v>4</v>
          </cell>
          <cell r="O188">
            <v>10</v>
          </cell>
          <cell r="S188">
            <v>4072.4639999999999</v>
          </cell>
        </row>
        <row r="189">
          <cell r="M189">
            <v>808.92</v>
          </cell>
          <cell r="N189">
            <v>3</v>
          </cell>
          <cell r="O189">
            <v>0</v>
          </cell>
          <cell r="S189">
            <v>2426.7600000000002</v>
          </cell>
        </row>
        <row r="190">
          <cell r="M190">
            <v>820.83</v>
          </cell>
          <cell r="N190">
            <v>3</v>
          </cell>
          <cell r="O190">
            <v>15</v>
          </cell>
          <cell r="S190">
            <v>2093.1165000000001</v>
          </cell>
        </row>
        <row r="191">
          <cell r="M191">
            <v>447.07</v>
          </cell>
          <cell r="N191">
            <v>1</v>
          </cell>
          <cell r="O191">
            <v>15</v>
          </cell>
          <cell r="S191">
            <v>380.0095</v>
          </cell>
        </row>
        <row r="192">
          <cell r="M192">
            <v>720.52</v>
          </cell>
          <cell r="N192">
            <v>1</v>
          </cell>
          <cell r="O192">
            <v>10</v>
          </cell>
          <cell r="S192">
            <v>648.46799999999996</v>
          </cell>
        </row>
        <row r="193">
          <cell r="M193">
            <v>31.95</v>
          </cell>
          <cell r="N193">
            <v>3</v>
          </cell>
          <cell r="O193">
            <v>15</v>
          </cell>
          <cell r="S193">
            <v>81.472499999999997</v>
          </cell>
        </row>
        <row r="194">
          <cell r="M194">
            <v>770.59</v>
          </cell>
          <cell r="N194">
            <v>4</v>
          </cell>
          <cell r="O194">
            <v>10</v>
          </cell>
          <cell r="S194">
            <v>2774.1239999999998</v>
          </cell>
        </row>
        <row r="195">
          <cell r="M195">
            <v>1097.68</v>
          </cell>
          <cell r="N195">
            <v>2</v>
          </cell>
          <cell r="O195">
            <v>5</v>
          </cell>
          <cell r="S195">
            <v>2085.5920000000001</v>
          </cell>
        </row>
        <row r="196">
          <cell r="M196">
            <v>742.84</v>
          </cell>
          <cell r="N196">
            <v>4</v>
          </cell>
          <cell r="O196">
            <v>20</v>
          </cell>
          <cell r="S196">
            <v>2377.0880000000002</v>
          </cell>
        </row>
        <row r="197">
          <cell r="M197">
            <v>1050.96</v>
          </cell>
          <cell r="N197">
            <v>2</v>
          </cell>
          <cell r="O197">
            <v>5</v>
          </cell>
          <cell r="S197">
            <v>1996.8240000000001</v>
          </cell>
        </row>
        <row r="198">
          <cell r="M198">
            <v>874.29</v>
          </cell>
          <cell r="N198">
            <v>4</v>
          </cell>
          <cell r="O198">
            <v>10</v>
          </cell>
          <cell r="S198">
            <v>3147.444</v>
          </cell>
        </row>
        <row r="199">
          <cell r="M199">
            <v>162.26</v>
          </cell>
          <cell r="N199">
            <v>1</v>
          </cell>
          <cell r="O199">
            <v>10</v>
          </cell>
          <cell r="S199">
            <v>146.03399999999999</v>
          </cell>
        </row>
        <row r="200">
          <cell r="M200">
            <v>1084.8900000000001</v>
          </cell>
          <cell r="N200">
            <v>3</v>
          </cell>
          <cell r="O200">
            <v>5</v>
          </cell>
          <cell r="S200">
            <v>3091.9364999999998</v>
          </cell>
        </row>
        <row r="201">
          <cell r="M201">
            <v>98.4</v>
          </cell>
          <cell r="N201">
            <v>3</v>
          </cell>
          <cell r="O201">
            <v>0</v>
          </cell>
          <cell r="S201">
            <v>295.2</v>
          </cell>
        </row>
        <row r="202">
          <cell r="M202">
            <v>650.08000000000004</v>
          </cell>
          <cell r="N202">
            <v>1</v>
          </cell>
          <cell r="O202">
            <v>0</v>
          </cell>
          <cell r="S202">
            <v>650.08000000000004</v>
          </cell>
        </row>
        <row r="203">
          <cell r="M203">
            <v>187.72</v>
          </cell>
          <cell r="N203">
            <v>2</v>
          </cell>
          <cell r="O203">
            <v>0</v>
          </cell>
          <cell r="S203">
            <v>375.44</v>
          </cell>
        </row>
        <row r="204">
          <cell r="M204">
            <v>33.81</v>
          </cell>
          <cell r="N204">
            <v>2</v>
          </cell>
          <cell r="O204">
            <v>10</v>
          </cell>
          <cell r="S204">
            <v>60.857999999999997</v>
          </cell>
        </row>
        <row r="205">
          <cell r="M205">
            <v>518</v>
          </cell>
          <cell r="N205">
            <v>2</v>
          </cell>
          <cell r="O205">
            <v>15</v>
          </cell>
          <cell r="S205">
            <v>880.6</v>
          </cell>
        </row>
        <row r="206">
          <cell r="M206">
            <v>368.15</v>
          </cell>
          <cell r="N206">
            <v>1</v>
          </cell>
          <cell r="O206">
            <v>10</v>
          </cell>
          <cell r="S206">
            <v>331.33499999999998</v>
          </cell>
        </row>
        <row r="207">
          <cell r="M207">
            <v>593.48</v>
          </cell>
          <cell r="N207">
            <v>2</v>
          </cell>
          <cell r="O207">
            <v>15</v>
          </cell>
          <cell r="S207">
            <v>1008.9160000000001</v>
          </cell>
        </row>
        <row r="208">
          <cell r="M208">
            <v>701.1</v>
          </cell>
          <cell r="N208">
            <v>1</v>
          </cell>
          <cell r="O208">
            <v>5</v>
          </cell>
          <cell r="S208">
            <v>666.04499999999996</v>
          </cell>
        </row>
        <row r="209">
          <cell r="M209">
            <v>71.61</v>
          </cell>
          <cell r="N209">
            <v>4</v>
          </cell>
          <cell r="O209">
            <v>20</v>
          </cell>
          <cell r="S209">
            <v>229.15199999999999</v>
          </cell>
        </row>
        <row r="210">
          <cell r="M210">
            <v>165.14</v>
          </cell>
          <cell r="N210">
            <v>4</v>
          </cell>
          <cell r="O210">
            <v>15</v>
          </cell>
          <cell r="S210">
            <v>561.476</v>
          </cell>
        </row>
        <row r="211">
          <cell r="M211">
            <v>679.2</v>
          </cell>
          <cell r="N211">
            <v>1</v>
          </cell>
          <cell r="O211">
            <v>0</v>
          </cell>
          <cell r="S211">
            <v>679.2</v>
          </cell>
        </row>
        <row r="212">
          <cell r="M212">
            <v>424.94</v>
          </cell>
          <cell r="N212">
            <v>3</v>
          </cell>
          <cell r="O212">
            <v>10</v>
          </cell>
          <cell r="S212">
            <v>1147.338</v>
          </cell>
        </row>
        <row r="213">
          <cell r="M213">
            <v>880.42</v>
          </cell>
          <cell r="N213">
            <v>4</v>
          </cell>
          <cell r="O213">
            <v>5</v>
          </cell>
          <cell r="S213">
            <v>3345.596</v>
          </cell>
        </row>
        <row r="214">
          <cell r="M214">
            <v>789.7</v>
          </cell>
          <cell r="N214">
            <v>2</v>
          </cell>
          <cell r="O214">
            <v>0</v>
          </cell>
          <cell r="S214">
            <v>1579.4</v>
          </cell>
        </row>
        <row r="215">
          <cell r="M215">
            <v>1017.81</v>
          </cell>
          <cell r="N215">
            <v>1</v>
          </cell>
          <cell r="O215">
            <v>5</v>
          </cell>
          <cell r="S215">
            <v>966.91949999999997</v>
          </cell>
        </row>
        <row r="216">
          <cell r="M216">
            <v>837.14</v>
          </cell>
          <cell r="N216">
            <v>2</v>
          </cell>
          <cell r="O216">
            <v>20</v>
          </cell>
          <cell r="S216">
            <v>1339.424</v>
          </cell>
        </row>
        <row r="217">
          <cell r="M217">
            <v>527.32000000000005</v>
          </cell>
          <cell r="N217">
            <v>2</v>
          </cell>
          <cell r="O217">
            <v>10</v>
          </cell>
          <cell r="S217">
            <v>949.17600000000004</v>
          </cell>
        </row>
        <row r="218">
          <cell r="M218">
            <v>814.1</v>
          </cell>
          <cell r="N218">
            <v>3</v>
          </cell>
          <cell r="O218">
            <v>10</v>
          </cell>
          <cell r="S218">
            <v>2198.0700000000002</v>
          </cell>
        </row>
        <row r="219">
          <cell r="M219">
            <v>344.95</v>
          </cell>
          <cell r="N219">
            <v>2</v>
          </cell>
          <cell r="O219">
            <v>20</v>
          </cell>
          <cell r="S219">
            <v>551.91999999999996</v>
          </cell>
        </row>
        <row r="220">
          <cell r="M220">
            <v>381.45</v>
          </cell>
          <cell r="N220">
            <v>3</v>
          </cell>
          <cell r="O220">
            <v>10</v>
          </cell>
          <cell r="S220">
            <v>1029.915</v>
          </cell>
        </row>
        <row r="221">
          <cell r="M221">
            <v>951</v>
          </cell>
          <cell r="N221">
            <v>4</v>
          </cell>
          <cell r="O221">
            <v>15</v>
          </cell>
          <cell r="S221">
            <v>3233.4</v>
          </cell>
        </row>
        <row r="222">
          <cell r="M222">
            <v>546.78</v>
          </cell>
          <cell r="N222">
            <v>1</v>
          </cell>
          <cell r="O222">
            <v>5</v>
          </cell>
          <cell r="S222">
            <v>519.44100000000003</v>
          </cell>
        </row>
        <row r="223">
          <cell r="M223">
            <v>962.09</v>
          </cell>
          <cell r="N223">
            <v>2</v>
          </cell>
          <cell r="O223">
            <v>0</v>
          </cell>
          <cell r="S223">
            <v>1924.18</v>
          </cell>
        </row>
        <row r="224">
          <cell r="M224">
            <v>990.46</v>
          </cell>
          <cell r="N224">
            <v>1</v>
          </cell>
          <cell r="O224">
            <v>20</v>
          </cell>
          <cell r="S224">
            <v>792.36800000000005</v>
          </cell>
        </row>
        <row r="225">
          <cell r="M225">
            <v>1031.92</v>
          </cell>
          <cell r="N225">
            <v>2</v>
          </cell>
          <cell r="O225">
            <v>15</v>
          </cell>
          <cell r="S225">
            <v>1754.2639999999999</v>
          </cell>
        </row>
        <row r="226">
          <cell r="M226">
            <v>1101.6300000000001</v>
          </cell>
          <cell r="N226">
            <v>1</v>
          </cell>
          <cell r="O226">
            <v>0</v>
          </cell>
          <cell r="S226">
            <v>1101.6300000000001</v>
          </cell>
        </row>
        <row r="227">
          <cell r="M227">
            <v>528.55999999999995</v>
          </cell>
          <cell r="N227">
            <v>2</v>
          </cell>
          <cell r="O227">
            <v>0</v>
          </cell>
          <cell r="S227">
            <v>1057.1199999999999</v>
          </cell>
        </row>
        <row r="228">
          <cell r="M228">
            <v>396.26</v>
          </cell>
          <cell r="N228">
            <v>2</v>
          </cell>
          <cell r="O228">
            <v>20</v>
          </cell>
          <cell r="S228">
            <v>634.01599999999996</v>
          </cell>
        </row>
        <row r="229">
          <cell r="M229">
            <v>706.99</v>
          </cell>
          <cell r="N229">
            <v>2</v>
          </cell>
          <cell r="O229">
            <v>15</v>
          </cell>
          <cell r="S229">
            <v>1201.883</v>
          </cell>
        </row>
        <row r="230">
          <cell r="M230">
            <v>457.98</v>
          </cell>
          <cell r="N230">
            <v>2</v>
          </cell>
          <cell r="O230">
            <v>0</v>
          </cell>
          <cell r="S230">
            <v>915.96</v>
          </cell>
        </row>
        <row r="231">
          <cell r="M231">
            <v>729.27</v>
          </cell>
          <cell r="N231">
            <v>2</v>
          </cell>
          <cell r="O231">
            <v>0</v>
          </cell>
          <cell r="S231">
            <v>1458.54</v>
          </cell>
        </row>
        <row r="232">
          <cell r="M232">
            <v>852.59</v>
          </cell>
          <cell r="N232">
            <v>2</v>
          </cell>
          <cell r="O232">
            <v>15</v>
          </cell>
          <cell r="S232">
            <v>1449.403</v>
          </cell>
        </row>
        <row r="233">
          <cell r="M233">
            <v>832.32</v>
          </cell>
          <cell r="N233">
            <v>2</v>
          </cell>
          <cell r="O233">
            <v>10</v>
          </cell>
          <cell r="S233">
            <v>1498.1759999999999</v>
          </cell>
        </row>
        <row r="234">
          <cell r="M234">
            <v>461.97</v>
          </cell>
          <cell r="N234">
            <v>2</v>
          </cell>
          <cell r="O234">
            <v>0</v>
          </cell>
          <cell r="S234">
            <v>923.94</v>
          </cell>
        </row>
        <row r="235">
          <cell r="M235">
            <v>216.9</v>
          </cell>
          <cell r="N235">
            <v>2</v>
          </cell>
          <cell r="O235">
            <v>5</v>
          </cell>
          <cell r="S235">
            <v>412.11</v>
          </cell>
        </row>
        <row r="236">
          <cell r="M236">
            <v>528.02</v>
          </cell>
          <cell r="N236">
            <v>1</v>
          </cell>
          <cell r="O236">
            <v>15</v>
          </cell>
          <cell r="S236">
            <v>448.81700000000001</v>
          </cell>
        </row>
        <row r="237">
          <cell r="M237">
            <v>188.26</v>
          </cell>
          <cell r="N237">
            <v>3</v>
          </cell>
          <cell r="O237">
            <v>0</v>
          </cell>
          <cell r="S237">
            <v>564.78</v>
          </cell>
        </row>
        <row r="238">
          <cell r="M238">
            <v>1070.31</v>
          </cell>
          <cell r="N238">
            <v>2</v>
          </cell>
          <cell r="O238">
            <v>20</v>
          </cell>
          <cell r="S238">
            <v>1712.4960000000001</v>
          </cell>
        </row>
        <row r="239">
          <cell r="M239">
            <v>428.14</v>
          </cell>
          <cell r="N239">
            <v>3</v>
          </cell>
          <cell r="O239">
            <v>5</v>
          </cell>
          <cell r="S239">
            <v>1220.1990000000001</v>
          </cell>
        </row>
        <row r="240">
          <cell r="M240">
            <v>202.26</v>
          </cell>
          <cell r="N240">
            <v>2</v>
          </cell>
          <cell r="O240">
            <v>0</v>
          </cell>
          <cell r="S240">
            <v>404.52</v>
          </cell>
        </row>
        <row r="241">
          <cell r="M241">
            <v>50.03</v>
          </cell>
          <cell r="N241">
            <v>2</v>
          </cell>
          <cell r="O241">
            <v>5</v>
          </cell>
          <cell r="S241">
            <v>95.057000000000002</v>
          </cell>
        </row>
        <row r="242">
          <cell r="M242">
            <v>782.07</v>
          </cell>
          <cell r="N242">
            <v>1</v>
          </cell>
          <cell r="O242">
            <v>5</v>
          </cell>
          <cell r="S242">
            <v>742.9665</v>
          </cell>
        </row>
        <row r="243">
          <cell r="M243">
            <v>771.54</v>
          </cell>
          <cell r="N243">
            <v>4</v>
          </cell>
          <cell r="O243">
            <v>10</v>
          </cell>
          <cell r="S243">
            <v>2777.5439999999999</v>
          </cell>
        </row>
        <row r="244">
          <cell r="M244">
            <v>421.91</v>
          </cell>
          <cell r="N244">
            <v>4</v>
          </cell>
          <cell r="O244">
            <v>5</v>
          </cell>
          <cell r="S244">
            <v>1603.258</v>
          </cell>
        </row>
        <row r="245">
          <cell r="M245">
            <v>104.62</v>
          </cell>
          <cell r="N245">
            <v>1</v>
          </cell>
          <cell r="O245">
            <v>10</v>
          </cell>
          <cell r="S245">
            <v>94.158000000000001</v>
          </cell>
        </row>
        <row r="246">
          <cell r="M246">
            <v>503.36</v>
          </cell>
          <cell r="N246">
            <v>3</v>
          </cell>
          <cell r="O246">
            <v>15</v>
          </cell>
          <cell r="S246">
            <v>1283.568</v>
          </cell>
        </row>
        <row r="247">
          <cell r="M247">
            <v>387.24</v>
          </cell>
          <cell r="N247">
            <v>4</v>
          </cell>
          <cell r="O247">
            <v>10</v>
          </cell>
          <cell r="S247">
            <v>1394.0640000000001</v>
          </cell>
        </row>
        <row r="248">
          <cell r="M248">
            <v>819</v>
          </cell>
          <cell r="N248">
            <v>1</v>
          </cell>
          <cell r="O248">
            <v>20</v>
          </cell>
          <cell r="S248">
            <v>655.20000000000005</v>
          </cell>
        </row>
        <row r="249">
          <cell r="M249">
            <v>734.82</v>
          </cell>
          <cell r="N249">
            <v>1</v>
          </cell>
          <cell r="O249">
            <v>0</v>
          </cell>
          <cell r="S249">
            <v>734.82</v>
          </cell>
        </row>
        <row r="250">
          <cell r="M250">
            <v>450.22</v>
          </cell>
          <cell r="N250">
            <v>4</v>
          </cell>
          <cell r="O250">
            <v>15</v>
          </cell>
          <cell r="S250">
            <v>1530.748</v>
          </cell>
        </row>
        <row r="251">
          <cell r="M251">
            <v>277.11</v>
          </cell>
          <cell r="N251">
            <v>3</v>
          </cell>
          <cell r="O251">
            <v>15</v>
          </cell>
          <cell r="S251">
            <v>706.63049999999998</v>
          </cell>
        </row>
        <row r="252">
          <cell r="M252">
            <v>1185.8800000000001</v>
          </cell>
          <cell r="N252">
            <v>1</v>
          </cell>
          <cell r="O252">
            <v>20</v>
          </cell>
          <cell r="S252">
            <v>948.70399999999995</v>
          </cell>
        </row>
        <row r="253">
          <cell r="M253">
            <v>555.72</v>
          </cell>
          <cell r="N253">
            <v>2</v>
          </cell>
          <cell r="O253">
            <v>10</v>
          </cell>
          <cell r="S253">
            <v>1000.296</v>
          </cell>
        </row>
        <row r="254">
          <cell r="M254">
            <v>832.16</v>
          </cell>
          <cell r="N254">
            <v>3</v>
          </cell>
          <cell r="O254">
            <v>0</v>
          </cell>
          <cell r="S254">
            <v>2496.48</v>
          </cell>
        </row>
        <row r="255">
          <cell r="M255">
            <v>185.85</v>
          </cell>
          <cell r="N255">
            <v>3</v>
          </cell>
          <cell r="O255">
            <v>10</v>
          </cell>
          <cell r="S255">
            <v>501.79500000000002</v>
          </cell>
        </row>
        <row r="256">
          <cell r="M256">
            <v>593</v>
          </cell>
          <cell r="N256">
            <v>4</v>
          </cell>
          <cell r="O256">
            <v>5</v>
          </cell>
          <cell r="S256">
            <v>2253.4</v>
          </cell>
        </row>
        <row r="257">
          <cell r="M257">
            <v>52.49</v>
          </cell>
          <cell r="N257">
            <v>4</v>
          </cell>
          <cell r="O257">
            <v>10</v>
          </cell>
          <cell r="S257">
            <v>188.964</v>
          </cell>
        </row>
        <row r="258">
          <cell r="M258">
            <v>616.44000000000005</v>
          </cell>
          <cell r="N258">
            <v>2</v>
          </cell>
          <cell r="O258">
            <v>15</v>
          </cell>
          <cell r="S258">
            <v>1047.9480000000001</v>
          </cell>
        </row>
        <row r="259">
          <cell r="M259">
            <v>1157.54</v>
          </cell>
          <cell r="N259">
            <v>1</v>
          </cell>
          <cell r="O259">
            <v>0</v>
          </cell>
          <cell r="S259">
            <v>1157.54</v>
          </cell>
        </row>
        <row r="260">
          <cell r="M260">
            <v>473.36</v>
          </cell>
          <cell r="N260">
            <v>4</v>
          </cell>
          <cell r="O260">
            <v>10</v>
          </cell>
          <cell r="S260">
            <v>1704.096</v>
          </cell>
        </row>
        <row r="261">
          <cell r="M261">
            <v>66.02</v>
          </cell>
          <cell r="N261">
            <v>4</v>
          </cell>
          <cell r="O261">
            <v>0</v>
          </cell>
          <cell r="S261">
            <v>264.08</v>
          </cell>
        </row>
        <row r="262">
          <cell r="M262">
            <v>56.53</v>
          </cell>
          <cell r="N262">
            <v>3</v>
          </cell>
          <cell r="O262">
            <v>0</v>
          </cell>
          <cell r="S262">
            <v>169.59</v>
          </cell>
        </row>
        <row r="263">
          <cell r="M263">
            <v>477.82</v>
          </cell>
          <cell r="N263">
            <v>4</v>
          </cell>
          <cell r="O263">
            <v>5</v>
          </cell>
          <cell r="S263">
            <v>1815.7159999999999</v>
          </cell>
        </row>
        <row r="264">
          <cell r="M264">
            <v>208.83</v>
          </cell>
          <cell r="N264">
            <v>4</v>
          </cell>
          <cell r="O264">
            <v>5</v>
          </cell>
          <cell r="S264">
            <v>793.55399999999997</v>
          </cell>
        </row>
        <row r="265">
          <cell r="M265">
            <v>47.56</v>
          </cell>
          <cell r="N265">
            <v>4</v>
          </cell>
          <cell r="O265">
            <v>15</v>
          </cell>
          <cell r="S265">
            <v>161.70400000000001</v>
          </cell>
        </row>
        <row r="266">
          <cell r="M266">
            <v>912.33</v>
          </cell>
          <cell r="N266">
            <v>4</v>
          </cell>
          <cell r="O266">
            <v>20</v>
          </cell>
          <cell r="S266">
            <v>2919.4560000000001</v>
          </cell>
        </row>
        <row r="267">
          <cell r="M267">
            <v>561.05999999999995</v>
          </cell>
          <cell r="N267">
            <v>3</v>
          </cell>
          <cell r="O267">
            <v>0</v>
          </cell>
          <cell r="S267">
            <v>1683.18</v>
          </cell>
        </row>
        <row r="268">
          <cell r="M268">
            <v>361.31</v>
          </cell>
          <cell r="N268">
            <v>2</v>
          </cell>
          <cell r="O268">
            <v>20</v>
          </cell>
          <cell r="S268">
            <v>578.096</v>
          </cell>
        </row>
        <row r="269">
          <cell r="M269">
            <v>1082.0999999999999</v>
          </cell>
          <cell r="N269">
            <v>2</v>
          </cell>
          <cell r="O269">
            <v>15</v>
          </cell>
          <cell r="S269">
            <v>1839.57</v>
          </cell>
        </row>
        <row r="270">
          <cell r="M270">
            <v>157.04</v>
          </cell>
          <cell r="N270">
            <v>1</v>
          </cell>
          <cell r="O270">
            <v>0</v>
          </cell>
          <cell r="S270">
            <v>157.04</v>
          </cell>
        </row>
        <row r="271">
          <cell r="M271">
            <v>1147.98</v>
          </cell>
          <cell r="N271">
            <v>4</v>
          </cell>
          <cell r="O271">
            <v>0</v>
          </cell>
          <cell r="S271">
            <v>4591.92</v>
          </cell>
        </row>
        <row r="272">
          <cell r="M272">
            <v>390.48</v>
          </cell>
          <cell r="N272">
            <v>3</v>
          </cell>
          <cell r="O272">
            <v>20</v>
          </cell>
          <cell r="S272">
            <v>937.15200000000004</v>
          </cell>
        </row>
        <row r="273">
          <cell r="M273">
            <v>1068.32</v>
          </cell>
          <cell r="N273">
            <v>1</v>
          </cell>
          <cell r="O273">
            <v>10</v>
          </cell>
          <cell r="S273">
            <v>961.48800000000006</v>
          </cell>
        </row>
        <row r="274">
          <cell r="M274">
            <v>731.47</v>
          </cell>
          <cell r="N274">
            <v>1</v>
          </cell>
          <cell r="O274">
            <v>5</v>
          </cell>
          <cell r="S274">
            <v>694.89649999999995</v>
          </cell>
        </row>
        <row r="275">
          <cell r="M275">
            <v>995.51</v>
          </cell>
          <cell r="N275">
            <v>2</v>
          </cell>
          <cell r="O275">
            <v>10</v>
          </cell>
          <cell r="S275">
            <v>1791.9179999999999</v>
          </cell>
        </row>
        <row r="276">
          <cell r="M276">
            <v>1181.1400000000001</v>
          </cell>
          <cell r="N276">
            <v>3</v>
          </cell>
          <cell r="O276">
            <v>20</v>
          </cell>
          <cell r="S276">
            <v>2834.7359999999999</v>
          </cell>
        </row>
        <row r="277">
          <cell r="M277">
            <v>360.32</v>
          </cell>
          <cell r="N277">
            <v>3</v>
          </cell>
          <cell r="O277">
            <v>5</v>
          </cell>
          <cell r="S277">
            <v>1026.912</v>
          </cell>
        </row>
        <row r="278">
          <cell r="M278">
            <v>1154.1400000000001</v>
          </cell>
          <cell r="N278">
            <v>3</v>
          </cell>
          <cell r="O278">
            <v>10</v>
          </cell>
          <cell r="S278">
            <v>3116.1779999999999</v>
          </cell>
        </row>
        <row r="279">
          <cell r="M279">
            <v>479.59</v>
          </cell>
          <cell r="N279">
            <v>2</v>
          </cell>
          <cell r="O279">
            <v>5</v>
          </cell>
          <cell r="S279">
            <v>911.221</v>
          </cell>
        </row>
        <row r="280">
          <cell r="M280">
            <v>474.9</v>
          </cell>
          <cell r="N280">
            <v>2</v>
          </cell>
          <cell r="O280">
            <v>0</v>
          </cell>
          <cell r="S280">
            <v>949.8</v>
          </cell>
        </row>
        <row r="281">
          <cell r="M281">
            <v>421.66</v>
          </cell>
          <cell r="N281">
            <v>2</v>
          </cell>
          <cell r="O281">
            <v>10</v>
          </cell>
          <cell r="S281">
            <v>758.98800000000006</v>
          </cell>
        </row>
        <row r="282">
          <cell r="M282">
            <v>658.86</v>
          </cell>
          <cell r="N282">
            <v>2</v>
          </cell>
          <cell r="O282">
            <v>5</v>
          </cell>
          <cell r="S282">
            <v>1251.8340000000001</v>
          </cell>
        </row>
        <row r="283">
          <cell r="M283">
            <v>201.89</v>
          </cell>
          <cell r="N283">
            <v>2</v>
          </cell>
          <cell r="O283">
            <v>5</v>
          </cell>
          <cell r="S283">
            <v>383.59100000000001</v>
          </cell>
        </row>
        <row r="284">
          <cell r="M284">
            <v>673.38</v>
          </cell>
          <cell r="N284">
            <v>4</v>
          </cell>
          <cell r="O284">
            <v>5</v>
          </cell>
          <cell r="S284">
            <v>2558.8440000000001</v>
          </cell>
        </row>
        <row r="285">
          <cell r="M285">
            <v>659.21</v>
          </cell>
          <cell r="N285">
            <v>4</v>
          </cell>
          <cell r="O285">
            <v>10</v>
          </cell>
          <cell r="S285">
            <v>2373.1559999999999</v>
          </cell>
        </row>
        <row r="286">
          <cell r="M286">
            <v>919.04</v>
          </cell>
          <cell r="N286">
            <v>3</v>
          </cell>
          <cell r="O286">
            <v>15</v>
          </cell>
          <cell r="S286">
            <v>2343.5520000000001</v>
          </cell>
        </row>
        <row r="287">
          <cell r="M287">
            <v>1003.71</v>
          </cell>
          <cell r="N287">
            <v>1</v>
          </cell>
          <cell r="O287">
            <v>10</v>
          </cell>
          <cell r="S287">
            <v>903.33900000000006</v>
          </cell>
        </row>
        <row r="288">
          <cell r="M288">
            <v>539.72</v>
          </cell>
          <cell r="N288">
            <v>3</v>
          </cell>
          <cell r="O288">
            <v>20</v>
          </cell>
          <cell r="S288">
            <v>1295.328</v>
          </cell>
        </row>
        <row r="289">
          <cell r="M289">
            <v>376.75</v>
          </cell>
          <cell r="N289">
            <v>1</v>
          </cell>
          <cell r="O289">
            <v>10</v>
          </cell>
          <cell r="S289">
            <v>339.07499999999999</v>
          </cell>
        </row>
        <row r="290">
          <cell r="M290">
            <v>326.02</v>
          </cell>
          <cell r="N290">
            <v>2</v>
          </cell>
          <cell r="O290">
            <v>5</v>
          </cell>
          <cell r="S290">
            <v>619.43799999999999</v>
          </cell>
        </row>
        <row r="291">
          <cell r="M291">
            <v>249.66</v>
          </cell>
          <cell r="N291">
            <v>1</v>
          </cell>
          <cell r="O291">
            <v>0</v>
          </cell>
          <cell r="S291">
            <v>249.66</v>
          </cell>
        </row>
        <row r="292">
          <cell r="M292">
            <v>88.02</v>
          </cell>
          <cell r="N292">
            <v>3</v>
          </cell>
          <cell r="O292">
            <v>10</v>
          </cell>
          <cell r="S292">
            <v>237.654</v>
          </cell>
        </row>
        <row r="293">
          <cell r="M293">
            <v>424.09</v>
          </cell>
          <cell r="N293">
            <v>3</v>
          </cell>
          <cell r="O293">
            <v>10</v>
          </cell>
          <cell r="S293">
            <v>1145.0429999999999</v>
          </cell>
        </row>
        <row r="294">
          <cell r="M294">
            <v>338.89</v>
          </cell>
          <cell r="N294">
            <v>1</v>
          </cell>
          <cell r="O294">
            <v>5</v>
          </cell>
          <cell r="S294">
            <v>321.94549999999998</v>
          </cell>
        </row>
        <row r="295">
          <cell r="M295">
            <v>1160.3699999999999</v>
          </cell>
          <cell r="N295">
            <v>4</v>
          </cell>
          <cell r="O295">
            <v>0</v>
          </cell>
          <cell r="S295">
            <v>4641.4799999999996</v>
          </cell>
        </row>
        <row r="296">
          <cell r="M296">
            <v>678.1</v>
          </cell>
          <cell r="N296">
            <v>2</v>
          </cell>
          <cell r="O296">
            <v>0</v>
          </cell>
          <cell r="S296">
            <v>1356.2</v>
          </cell>
        </row>
        <row r="297">
          <cell r="M297">
            <v>429.79</v>
          </cell>
          <cell r="N297">
            <v>2</v>
          </cell>
          <cell r="O297">
            <v>20</v>
          </cell>
          <cell r="S297">
            <v>687.66399999999999</v>
          </cell>
        </row>
        <row r="298">
          <cell r="M298">
            <v>704.95</v>
          </cell>
          <cell r="N298">
            <v>3</v>
          </cell>
          <cell r="O298">
            <v>10</v>
          </cell>
          <cell r="S298">
            <v>1903.365</v>
          </cell>
        </row>
        <row r="299">
          <cell r="M299">
            <v>184.25</v>
          </cell>
          <cell r="N299">
            <v>4</v>
          </cell>
          <cell r="O299">
            <v>0</v>
          </cell>
          <cell r="S299">
            <v>737</v>
          </cell>
        </row>
        <row r="300">
          <cell r="M300">
            <v>543.97</v>
          </cell>
          <cell r="N300">
            <v>1</v>
          </cell>
          <cell r="O300">
            <v>0</v>
          </cell>
          <cell r="S300">
            <v>543.97</v>
          </cell>
        </row>
        <row r="301">
          <cell r="M301">
            <v>758.96</v>
          </cell>
          <cell r="N301">
            <v>2</v>
          </cell>
          <cell r="O301">
            <v>15</v>
          </cell>
          <cell r="S301">
            <v>1290.232</v>
          </cell>
        </row>
        <row r="302">
          <cell r="M302">
            <v>596.9</v>
          </cell>
          <cell r="N302">
            <v>4</v>
          </cell>
          <cell r="O302">
            <v>15</v>
          </cell>
          <cell r="S302">
            <v>2029.46</v>
          </cell>
        </row>
        <row r="303">
          <cell r="M303">
            <v>494.1</v>
          </cell>
          <cell r="N303">
            <v>2</v>
          </cell>
          <cell r="O303">
            <v>0</v>
          </cell>
          <cell r="S303">
            <v>988.2</v>
          </cell>
        </row>
        <row r="304">
          <cell r="M304">
            <v>1192.74</v>
          </cell>
          <cell r="N304">
            <v>4</v>
          </cell>
          <cell r="O304">
            <v>20</v>
          </cell>
          <cell r="S304">
            <v>3816.768</v>
          </cell>
        </row>
        <row r="305">
          <cell r="M305">
            <v>1058.77</v>
          </cell>
          <cell r="N305">
            <v>4</v>
          </cell>
          <cell r="O305">
            <v>0</v>
          </cell>
          <cell r="S305">
            <v>4235.08</v>
          </cell>
        </row>
        <row r="306">
          <cell r="M306">
            <v>755.62</v>
          </cell>
          <cell r="N306">
            <v>3</v>
          </cell>
          <cell r="O306">
            <v>5</v>
          </cell>
          <cell r="S306">
            <v>2153.5169999999998</v>
          </cell>
        </row>
        <row r="307">
          <cell r="M307">
            <v>691.87</v>
          </cell>
          <cell r="N307">
            <v>2</v>
          </cell>
          <cell r="O307">
            <v>10</v>
          </cell>
          <cell r="S307">
            <v>1245.366</v>
          </cell>
        </row>
        <row r="308">
          <cell r="M308">
            <v>752.38</v>
          </cell>
          <cell r="N308">
            <v>1</v>
          </cell>
          <cell r="O308">
            <v>20</v>
          </cell>
          <cell r="S308">
            <v>601.904</v>
          </cell>
        </row>
        <row r="309">
          <cell r="M309">
            <v>257.55</v>
          </cell>
          <cell r="N309">
            <v>3</v>
          </cell>
          <cell r="O309">
            <v>5</v>
          </cell>
          <cell r="S309">
            <v>734.01750000000004</v>
          </cell>
        </row>
        <row r="310">
          <cell r="M310">
            <v>486.26</v>
          </cell>
          <cell r="N310">
            <v>3</v>
          </cell>
          <cell r="O310">
            <v>20</v>
          </cell>
          <cell r="S310">
            <v>1167.0239999999999</v>
          </cell>
        </row>
        <row r="311">
          <cell r="M311">
            <v>66.56</v>
          </cell>
          <cell r="N311">
            <v>1</v>
          </cell>
          <cell r="O311">
            <v>5</v>
          </cell>
          <cell r="S311">
            <v>63.231999999999999</v>
          </cell>
        </row>
        <row r="312">
          <cell r="M312">
            <v>581.14</v>
          </cell>
          <cell r="N312">
            <v>3</v>
          </cell>
          <cell r="O312">
            <v>10</v>
          </cell>
          <cell r="S312">
            <v>1569.078</v>
          </cell>
        </row>
        <row r="313">
          <cell r="M313">
            <v>660.77</v>
          </cell>
          <cell r="N313">
            <v>4</v>
          </cell>
          <cell r="O313">
            <v>10</v>
          </cell>
          <cell r="S313">
            <v>2378.7719999999999</v>
          </cell>
        </row>
        <row r="314">
          <cell r="M314">
            <v>288.74</v>
          </cell>
          <cell r="N314">
            <v>4</v>
          </cell>
          <cell r="O314">
            <v>15</v>
          </cell>
          <cell r="S314">
            <v>981.71600000000001</v>
          </cell>
        </row>
        <row r="315">
          <cell r="M315">
            <v>1157.55</v>
          </cell>
          <cell r="N315">
            <v>2</v>
          </cell>
          <cell r="O315">
            <v>5</v>
          </cell>
          <cell r="S315">
            <v>2199.3449999999998</v>
          </cell>
        </row>
        <row r="316">
          <cell r="M316">
            <v>1093.1600000000001</v>
          </cell>
          <cell r="N316">
            <v>2</v>
          </cell>
          <cell r="O316">
            <v>15</v>
          </cell>
          <cell r="S316">
            <v>1858.3720000000001</v>
          </cell>
        </row>
        <row r="317">
          <cell r="M317">
            <v>872.13</v>
          </cell>
          <cell r="N317">
            <v>1</v>
          </cell>
          <cell r="O317">
            <v>5</v>
          </cell>
          <cell r="S317">
            <v>828.52350000000001</v>
          </cell>
        </row>
        <row r="318">
          <cell r="M318">
            <v>649.4</v>
          </cell>
          <cell r="N318">
            <v>2</v>
          </cell>
          <cell r="O318">
            <v>15</v>
          </cell>
          <cell r="S318">
            <v>1103.98</v>
          </cell>
        </row>
        <row r="319">
          <cell r="M319">
            <v>1046.56</v>
          </cell>
          <cell r="N319">
            <v>4</v>
          </cell>
          <cell r="O319">
            <v>10</v>
          </cell>
          <cell r="S319">
            <v>3767.616</v>
          </cell>
        </row>
        <row r="320">
          <cell r="M320">
            <v>174.17</v>
          </cell>
          <cell r="N320">
            <v>1</v>
          </cell>
          <cell r="O320">
            <v>20</v>
          </cell>
          <cell r="S320">
            <v>139.33600000000001</v>
          </cell>
        </row>
        <row r="321">
          <cell r="M321">
            <v>952.8</v>
          </cell>
          <cell r="N321">
            <v>1</v>
          </cell>
          <cell r="O321">
            <v>15</v>
          </cell>
          <cell r="S321">
            <v>809.88</v>
          </cell>
        </row>
        <row r="322">
          <cell r="M322">
            <v>167.29</v>
          </cell>
          <cell r="N322">
            <v>2</v>
          </cell>
          <cell r="O322">
            <v>5</v>
          </cell>
          <cell r="S322">
            <v>317.851</v>
          </cell>
        </row>
        <row r="323">
          <cell r="M323">
            <v>957.17</v>
          </cell>
          <cell r="N323">
            <v>4</v>
          </cell>
          <cell r="O323">
            <v>5</v>
          </cell>
          <cell r="S323">
            <v>3637.2460000000001</v>
          </cell>
        </row>
        <row r="324">
          <cell r="M324">
            <v>345.41</v>
          </cell>
          <cell r="N324">
            <v>1</v>
          </cell>
          <cell r="O324">
            <v>10</v>
          </cell>
          <cell r="S324">
            <v>310.86900000000003</v>
          </cell>
        </row>
        <row r="325">
          <cell r="M325">
            <v>1054.97</v>
          </cell>
          <cell r="N325">
            <v>4</v>
          </cell>
          <cell r="O325">
            <v>5</v>
          </cell>
          <cell r="S325">
            <v>4008.886</v>
          </cell>
        </row>
        <row r="326">
          <cell r="M326">
            <v>1133.97</v>
          </cell>
          <cell r="N326">
            <v>4</v>
          </cell>
          <cell r="O326">
            <v>0</v>
          </cell>
          <cell r="S326">
            <v>4535.88</v>
          </cell>
        </row>
        <row r="327">
          <cell r="M327">
            <v>195.58</v>
          </cell>
          <cell r="N327">
            <v>4</v>
          </cell>
          <cell r="O327">
            <v>20</v>
          </cell>
          <cell r="S327">
            <v>625.85599999999999</v>
          </cell>
        </row>
        <row r="328">
          <cell r="M328">
            <v>565.96</v>
          </cell>
          <cell r="N328">
            <v>2</v>
          </cell>
          <cell r="O328">
            <v>15</v>
          </cell>
          <cell r="S328">
            <v>962.13199999999995</v>
          </cell>
        </row>
        <row r="329">
          <cell r="M329">
            <v>1177.57</v>
          </cell>
          <cell r="N329">
            <v>3</v>
          </cell>
          <cell r="O329">
            <v>20</v>
          </cell>
          <cell r="S329">
            <v>2826.1680000000001</v>
          </cell>
        </row>
        <row r="330">
          <cell r="M330">
            <v>590.41999999999996</v>
          </cell>
          <cell r="N330">
            <v>3</v>
          </cell>
          <cell r="O330">
            <v>10</v>
          </cell>
          <cell r="S330">
            <v>1594.134</v>
          </cell>
        </row>
        <row r="331">
          <cell r="M331">
            <v>1038.99</v>
          </cell>
          <cell r="N331">
            <v>1</v>
          </cell>
          <cell r="O331">
            <v>15</v>
          </cell>
          <cell r="S331">
            <v>883.14149999999995</v>
          </cell>
        </row>
        <row r="332">
          <cell r="M332">
            <v>714.7</v>
          </cell>
          <cell r="N332">
            <v>4</v>
          </cell>
          <cell r="O332">
            <v>15</v>
          </cell>
          <cell r="S332">
            <v>2429.98</v>
          </cell>
        </row>
        <row r="333">
          <cell r="M333">
            <v>462.89</v>
          </cell>
          <cell r="N333">
            <v>2</v>
          </cell>
          <cell r="O333">
            <v>0</v>
          </cell>
          <cell r="S333">
            <v>925.78</v>
          </cell>
        </row>
        <row r="334">
          <cell r="M334">
            <v>357.22</v>
          </cell>
          <cell r="N334">
            <v>4</v>
          </cell>
          <cell r="O334">
            <v>10</v>
          </cell>
          <cell r="S334">
            <v>1285.992</v>
          </cell>
        </row>
        <row r="335">
          <cell r="M335">
            <v>259.8</v>
          </cell>
          <cell r="N335">
            <v>4</v>
          </cell>
          <cell r="O335">
            <v>5</v>
          </cell>
          <cell r="S335">
            <v>987.24</v>
          </cell>
        </row>
        <row r="336">
          <cell r="M336">
            <v>918.92</v>
          </cell>
          <cell r="N336">
            <v>2</v>
          </cell>
          <cell r="O336">
            <v>0</v>
          </cell>
          <cell r="S336">
            <v>1837.84</v>
          </cell>
        </row>
        <row r="337">
          <cell r="M337">
            <v>476.12</v>
          </cell>
          <cell r="N337">
            <v>3</v>
          </cell>
          <cell r="O337">
            <v>0</v>
          </cell>
          <cell r="S337">
            <v>1428.36</v>
          </cell>
        </row>
        <row r="338">
          <cell r="M338">
            <v>623.30999999999995</v>
          </cell>
          <cell r="N338">
            <v>4</v>
          </cell>
          <cell r="O338">
            <v>20</v>
          </cell>
          <cell r="S338">
            <v>1994.5920000000001</v>
          </cell>
        </row>
        <row r="339">
          <cell r="M339">
            <v>600.94000000000005</v>
          </cell>
          <cell r="N339">
            <v>4</v>
          </cell>
          <cell r="O339">
            <v>20</v>
          </cell>
          <cell r="S339">
            <v>1923.008</v>
          </cell>
        </row>
        <row r="340">
          <cell r="M340">
            <v>701.19</v>
          </cell>
          <cell r="N340">
            <v>3</v>
          </cell>
          <cell r="O340">
            <v>20</v>
          </cell>
          <cell r="S340">
            <v>1682.856</v>
          </cell>
        </row>
        <row r="341">
          <cell r="M341">
            <v>1041.3800000000001</v>
          </cell>
          <cell r="N341">
            <v>2</v>
          </cell>
          <cell r="O341">
            <v>0</v>
          </cell>
          <cell r="S341">
            <v>2082.7600000000002</v>
          </cell>
        </row>
        <row r="342">
          <cell r="M342">
            <v>1177.27</v>
          </cell>
          <cell r="N342">
            <v>1</v>
          </cell>
          <cell r="O342">
            <v>5</v>
          </cell>
          <cell r="S342">
            <v>1118.4065000000001</v>
          </cell>
        </row>
        <row r="343">
          <cell r="M343">
            <v>500.95</v>
          </cell>
          <cell r="N343">
            <v>3</v>
          </cell>
          <cell r="O343">
            <v>15</v>
          </cell>
          <cell r="S343">
            <v>1277.4224999999999</v>
          </cell>
        </row>
        <row r="344">
          <cell r="M344">
            <v>996.47</v>
          </cell>
          <cell r="N344">
            <v>1</v>
          </cell>
          <cell r="O344">
            <v>20</v>
          </cell>
          <cell r="S344">
            <v>797.17600000000004</v>
          </cell>
        </row>
        <row r="345">
          <cell r="M345">
            <v>922.14</v>
          </cell>
          <cell r="N345">
            <v>1</v>
          </cell>
          <cell r="O345">
            <v>5</v>
          </cell>
          <cell r="S345">
            <v>876.03300000000002</v>
          </cell>
        </row>
        <row r="346">
          <cell r="M346">
            <v>696.76</v>
          </cell>
          <cell r="N346">
            <v>3</v>
          </cell>
          <cell r="O346">
            <v>10</v>
          </cell>
          <cell r="S346">
            <v>1881.252</v>
          </cell>
        </row>
        <row r="347">
          <cell r="M347">
            <v>1148.1400000000001</v>
          </cell>
          <cell r="N347">
            <v>4</v>
          </cell>
          <cell r="O347">
            <v>20</v>
          </cell>
          <cell r="S347">
            <v>3674.0479999999998</v>
          </cell>
        </row>
        <row r="348">
          <cell r="M348">
            <v>256.56</v>
          </cell>
          <cell r="N348">
            <v>1</v>
          </cell>
          <cell r="O348">
            <v>15</v>
          </cell>
          <cell r="S348">
            <v>218.07599999999999</v>
          </cell>
        </row>
        <row r="349">
          <cell r="M349">
            <v>148.93</v>
          </cell>
          <cell r="N349">
            <v>1</v>
          </cell>
          <cell r="O349">
            <v>10</v>
          </cell>
          <cell r="S349">
            <v>134.03700000000001</v>
          </cell>
        </row>
        <row r="350">
          <cell r="M350">
            <v>1027.68</v>
          </cell>
          <cell r="N350">
            <v>2</v>
          </cell>
          <cell r="O350">
            <v>10</v>
          </cell>
          <cell r="S350">
            <v>1849.8240000000001</v>
          </cell>
        </row>
        <row r="351">
          <cell r="M351">
            <v>538.20000000000005</v>
          </cell>
          <cell r="N351">
            <v>4</v>
          </cell>
          <cell r="O351">
            <v>15</v>
          </cell>
          <cell r="S351">
            <v>1829.88</v>
          </cell>
        </row>
        <row r="352">
          <cell r="M352">
            <v>1019.42</v>
          </cell>
          <cell r="N352">
            <v>1</v>
          </cell>
          <cell r="O352">
            <v>20</v>
          </cell>
          <cell r="S352">
            <v>815.53599999999994</v>
          </cell>
        </row>
        <row r="353">
          <cell r="M353">
            <v>1073.8499999999999</v>
          </cell>
          <cell r="N353">
            <v>2</v>
          </cell>
          <cell r="O353">
            <v>0</v>
          </cell>
          <cell r="S353">
            <v>2147.6999999999998</v>
          </cell>
        </row>
        <row r="354">
          <cell r="M354">
            <v>93.7</v>
          </cell>
          <cell r="N354">
            <v>4</v>
          </cell>
          <cell r="O354">
            <v>15</v>
          </cell>
          <cell r="S354">
            <v>318.58</v>
          </cell>
        </row>
        <row r="355">
          <cell r="M355">
            <v>1062.49</v>
          </cell>
          <cell r="N355">
            <v>3</v>
          </cell>
          <cell r="O355">
            <v>15</v>
          </cell>
          <cell r="S355">
            <v>2709.3494999999998</v>
          </cell>
        </row>
        <row r="356">
          <cell r="M356">
            <v>549.02</v>
          </cell>
          <cell r="N356">
            <v>3</v>
          </cell>
          <cell r="O356">
            <v>15</v>
          </cell>
          <cell r="S356">
            <v>1400.001</v>
          </cell>
        </row>
        <row r="357">
          <cell r="M357">
            <v>622.30999999999995</v>
          </cell>
          <cell r="N357">
            <v>2</v>
          </cell>
          <cell r="O357">
            <v>10</v>
          </cell>
          <cell r="S357">
            <v>1120.1579999999999</v>
          </cell>
        </row>
        <row r="358">
          <cell r="M358">
            <v>759.38</v>
          </cell>
          <cell r="N358">
            <v>3</v>
          </cell>
          <cell r="O358">
            <v>5</v>
          </cell>
          <cell r="S358">
            <v>2164.2330000000002</v>
          </cell>
        </row>
        <row r="359">
          <cell r="M359">
            <v>1113.1300000000001</v>
          </cell>
          <cell r="N359">
            <v>1</v>
          </cell>
          <cell r="O359">
            <v>0</v>
          </cell>
          <cell r="S359">
            <v>1113.1300000000001</v>
          </cell>
        </row>
        <row r="360">
          <cell r="M360">
            <v>42.56</v>
          </cell>
          <cell r="N360">
            <v>4</v>
          </cell>
          <cell r="O360">
            <v>20</v>
          </cell>
          <cell r="S360">
            <v>136.19200000000001</v>
          </cell>
        </row>
        <row r="361">
          <cell r="M361">
            <v>582.67999999999995</v>
          </cell>
          <cell r="N361">
            <v>1</v>
          </cell>
          <cell r="O361">
            <v>20</v>
          </cell>
          <cell r="S361">
            <v>466.14400000000001</v>
          </cell>
        </row>
        <row r="362">
          <cell r="M362">
            <v>831.51</v>
          </cell>
          <cell r="N362">
            <v>1</v>
          </cell>
          <cell r="O362">
            <v>5</v>
          </cell>
          <cell r="S362">
            <v>789.93449999999996</v>
          </cell>
        </row>
        <row r="363">
          <cell r="M363">
            <v>872.79</v>
          </cell>
          <cell r="N363">
            <v>3</v>
          </cell>
          <cell r="O363">
            <v>15</v>
          </cell>
          <cell r="S363">
            <v>2225.6145000000001</v>
          </cell>
        </row>
        <row r="364">
          <cell r="M364">
            <v>837.19</v>
          </cell>
          <cell r="N364">
            <v>1</v>
          </cell>
          <cell r="O364">
            <v>0</v>
          </cell>
          <cell r="S364">
            <v>837.19</v>
          </cell>
        </row>
        <row r="365">
          <cell r="M365">
            <v>178.63</v>
          </cell>
          <cell r="N365">
            <v>3</v>
          </cell>
          <cell r="O365">
            <v>20</v>
          </cell>
          <cell r="S365">
            <v>428.71199999999999</v>
          </cell>
        </row>
        <row r="366">
          <cell r="M366">
            <v>373.29</v>
          </cell>
          <cell r="N366">
            <v>4</v>
          </cell>
          <cell r="O366">
            <v>20</v>
          </cell>
          <cell r="S366">
            <v>1194.528</v>
          </cell>
        </row>
        <row r="367">
          <cell r="M367">
            <v>443.28</v>
          </cell>
          <cell r="N367">
            <v>4</v>
          </cell>
          <cell r="O367">
            <v>15</v>
          </cell>
          <cell r="S367">
            <v>1507.152</v>
          </cell>
        </row>
        <row r="368">
          <cell r="M368">
            <v>969.24</v>
          </cell>
          <cell r="N368">
            <v>1</v>
          </cell>
          <cell r="O368">
            <v>5</v>
          </cell>
          <cell r="S368">
            <v>920.77800000000002</v>
          </cell>
        </row>
        <row r="369">
          <cell r="M369">
            <v>348.94</v>
          </cell>
          <cell r="N369">
            <v>2</v>
          </cell>
          <cell r="O369">
            <v>0</v>
          </cell>
          <cell r="S369">
            <v>697.88</v>
          </cell>
        </row>
        <row r="370">
          <cell r="M370">
            <v>268.63</v>
          </cell>
          <cell r="N370">
            <v>3</v>
          </cell>
          <cell r="O370">
            <v>5</v>
          </cell>
          <cell r="S370">
            <v>765.59550000000002</v>
          </cell>
        </row>
        <row r="371">
          <cell r="M371">
            <v>1149.79</v>
          </cell>
          <cell r="N371">
            <v>3</v>
          </cell>
          <cell r="O371">
            <v>5</v>
          </cell>
          <cell r="S371">
            <v>3276.9014999999999</v>
          </cell>
        </row>
        <row r="372">
          <cell r="M372">
            <v>30.46</v>
          </cell>
          <cell r="N372">
            <v>1</v>
          </cell>
          <cell r="O372">
            <v>0</v>
          </cell>
          <cell r="S372">
            <v>30.46</v>
          </cell>
        </row>
        <row r="373">
          <cell r="M373">
            <v>1197.43</v>
          </cell>
          <cell r="N373">
            <v>3</v>
          </cell>
          <cell r="O373">
            <v>0</v>
          </cell>
          <cell r="S373">
            <v>3592.29</v>
          </cell>
        </row>
        <row r="374">
          <cell r="M374">
            <v>818.65</v>
          </cell>
          <cell r="N374">
            <v>3</v>
          </cell>
          <cell r="O374">
            <v>20</v>
          </cell>
          <cell r="S374">
            <v>1964.76</v>
          </cell>
        </row>
        <row r="375">
          <cell r="M375">
            <v>997.59</v>
          </cell>
          <cell r="N375">
            <v>2</v>
          </cell>
          <cell r="O375">
            <v>20</v>
          </cell>
          <cell r="S375">
            <v>1596.144</v>
          </cell>
        </row>
        <row r="376">
          <cell r="M376">
            <v>367.65</v>
          </cell>
          <cell r="N376">
            <v>2</v>
          </cell>
          <cell r="O376">
            <v>0</v>
          </cell>
          <cell r="S376">
            <v>735.3</v>
          </cell>
        </row>
        <row r="377">
          <cell r="M377">
            <v>36.89</v>
          </cell>
          <cell r="N377">
            <v>1</v>
          </cell>
          <cell r="O377">
            <v>10</v>
          </cell>
          <cell r="S377">
            <v>33.201000000000001</v>
          </cell>
        </row>
        <row r="378">
          <cell r="M378">
            <v>890.69</v>
          </cell>
          <cell r="N378">
            <v>2</v>
          </cell>
          <cell r="O378">
            <v>20</v>
          </cell>
          <cell r="S378">
            <v>1425.104</v>
          </cell>
        </row>
        <row r="379">
          <cell r="M379">
            <v>1004.29</v>
          </cell>
          <cell r="N379">
            <v>1</v>
          </cell>
          <cell r="O379">
            <v>10</v>
          </cell>
          <cell r="S379">
            <v>903.86099999999999</v>
          </cell>
        </row>
        <row r="380">
          <cell r="M380">
            <v>893.76</v>
          </cell>
          <cell r="N380">
            <v>4</v>
          </cell>
          <cell r="O380">
            <v>0</v>
          </cell>
          <cell r="S380">
            <v>3575.04</v>
          </cell>
        </row>
        <row r="381">
          <cell r="M381">
            <v>188.56</v>
          </cell>
          <cell r="N381">
            <v>1</v>
          </cell>
          <cell r="O381">
            <v>20</v>
          </cell>
          <cell r="S381">
            <v>150.84800000000001</v>
          </cell>
        </row>
        <row r="382">
          <cell r="M382">
            <v>909.04</v>
          </cell>
          <cell r="N382">
            <v>4</v>
          </cell>
          <cell r="O382">
            <v>5</v>
          </cell>
          <cell r="S382">
            <v>3454.3519999999999</v>
          </cell>
        </row>
        <row r="383">
          <cell r="M383">
            <v>927.33</v>
          </cell>
          <cell r="N383">
            <v>1</v>
          </cell>
          <cell r="O383">
            <v>0</v>
          </cell>
          <cell r="S383">
            <v>927.33</v>
          </cell>
        </row>
        <row r="384">
          <cell r="M384">
            <v>797.08</v>
          </cell>
          <cell r="N384">
            <v>3</v>
          </cell>
          <cell r="O384">
            <v>15</v>
          </cell>
          <cell r="S384">
            <v>2032.5540000000001</v>
          </cell>
        </row>
        <row r="385">
          <cell r="M385">
            <v>924.02</v>
          </cell>
          <cell r="N385">
            <v>2</v>
          </cell>
          <cell r="O385">
            <v>10</v>
          </cell>
          <cell r="S385">
            <v>1663.2360000000001</v>
          </cell>
        </row>
        <row r="386">
          <cell r="M386">
            <v>1018.19</v>
          </cell>
          <cell r="N386">
            <v>4</v>
          </cell>
          <cell r="O386">
            <v>0</v>
          </cell>
          <cell r="S386">
            <v>4072.76</v>
          </cell>
        </row>
        <row r="387">
          <cell r="M387">
            <v>744.05</v>
          </cell>
          <cell r="N387">
            <v>1</v>
          </cell>
          <cell r="O387">
            <v>0</v>
          </cell>
          <cell r="S387">
            <v>744.05</v>
          </cell>
        </row>
        <row r="388">
          <cell r="M388">
            <v>124.55</v>
          </cell>
          <cell r="N388">
            <v>2</v>
          </cell>
          <cell r="O388">
            <v>20</v>
          </cell>
          <cell r="S388">
            <v>199.28</v>
          </cell>
        </row>
        <row r="389">
          <cell r="M389">
            <v>595.4</v>
          </cell>
          <cell r="N389">
            <v>1</v>
          </cell>
          <cell r="O389">
            <v>20</v>
          </cell>
          <cell r="S389">
            <v>476.32</v>
          </cell>
        </row>
        <row r="390">
          <cell r="M390">
            <v>111.63</v>
          </cell>
          <cell r="N390">
            <v>2</v>
          </cell>
          <cell r="O390">
            <v>20</v>
          </cell>
          <cell r="S390">
            <v>178.608</v>
          </cell>
        </row>
        <row r="391">
          <cell r="M391">
            <v>500.9</v>
          </cell>
          <cell r="N391">
            <v>2</v>
          </cell>
          <cell r="O391">
            <v>15</v>
          </cell>
          <cell r="S391">
            <v>851.53</v>
          </cell>
        </row>
        <row r="392">
          <cell r="M392">
            <v>500.39</v>
          </cell>
          <cell r="N392">
            <v>1</v>
          </cell>
          <cell r="O392">
            <v>20</v>
          </cell>
          <cell r="S392">
            <v>400.31200000000001</v>
          </cell>
        </row>
        <row r="393">
          <cell r="M393">
            <v>97.89</v>
          </cell>
          <cell r="N393">
            <v>4</v>
          </cell>
          <cell r="O393">
            <v>0</v>
          </cell>
          <cell r="S393">
            <v>391.56</v>
          </cell>
        </row>
        <row r="394">
          <cell r="M394">
            <v>431.61</v>
          </cell>
          <cell r="N394">
            <v>4</v>
          </cell>
          <cell r="O394">
            <v>20</v>
          </cell>
          <cell r="S394">
            <v>1381.152</v>
          </cell>
        </row>
        <row r="395">
          <cell r="M395">
            <v>150.97999999999999</v>
          </cell>
          <cell r="N395">
            <v>3</v>
          </cell>
          <cell r="O395">
            <v>5</v>
          </cell>
          <cell r="S395">
            <v>430.29300000000001</v>
          </cell>
        </row>
        <row r="396">
          <cell r="M396">
            <v>973.72</v>
          </cell>
          <cell r="N396">
            <v>2</v>
          </cell>
          <cell r="O396">
            <v>20</v>
          </cell>
          <cell r="S396">
            <v>1557.952</v>
          </cell>
        </row>
        <row r="397">
          <cell r="M397">
            <v>1138.27</v>
          </cell>
          <cell r="N397">
            <v>3</v>
          </cell>
          <cell r="O397">
            <v>15</v>
          </cell>
          <cell r="S397">
            <v>2902.5884999999998</v>
          </cell>
        </row>
        <row r="398">
          <cell r="M398">
            <v>105.33</v>
          </cell>
          <cell r="N398">
            <v>3</v>
          </cell>
          <cell r="O398">
            <v>5</v>
          </cell>
          <cell r="S398">
            <v>300.19049999999999</v>
          </cell>
        </row>
        <row r="399">
          <cell r="M399">
            <v>1147.04</v>
          </cell>
          <cell r="N399">
            <v>1</v>
          </cell>
          <cell r="O399">
            <v>0</v>
          </cell>
          <cell r="S399">
            <v>1147.04</v>
          </cell>
        </row>
        <row r="400">
          <cell r="M400">
            <v>636.64</v>
          </cell>
          <cell r="N400">
            <v>1</v>
          </cell>
          <cell r="O400">
            <v>0</v>
          </cell>
          <cell r="S400">
            <v>636.64</v>
          </cell>
        </row>
        <row r="401">
          <cell r="M401">
            <v>373.49</v>
          </cell>
          <cell r="N401">
            <v>1</v>
          </cell>
          <cell r="O401">
            <v>10</v>
          </cell>
          <cell r="S401">
            <v>336.14100000000002</v>
          </cell>
        </row>
        <row r="402">
          <cell r="M402">
            <v>110.7</v>
          </cell>
          <cell r="N402">
            <v>2</v>
          </cell>
          <cell r="O402">
            <v>5</v>
          </cell>
          <cell r="S402">
            <v>210.33</v>
          </cell>
        </row>
        <row r="403">
          <cell r="M403">
            <v>610.74</v>
          </cell>
          <cell r="N403">
            <v>1</v>
          </cell>
          <cell r="O403">
            <v>10</v>
          </cell>
          <cell r="S403">
            <v>549.66600000000005</v>
          </cell>
        </row>
        <row r="404">
          <cell r="M404">
            <v>957.53</v>
          </cell>
          <cell r="N404">
            <v>1</v>
          </cell>
          <cell r="O404">
            <v>5</v>
          </cell>
          <cell r="S404">
            <v>909.65350000000001</v>
          </cell>
        </row>
        <row r="405">
          <cell r="M405">
            <v>854.36</v>
          </cell>
          <cell r="N405">
            <v>2</v>
          </cell>
          <cell r="O405">
            <v>5</v>
          </cell>
          <cell r="S405">
            <v>1623.2840000000001</v>
          </cell>
        </row>
        <row r="406">
          <cell r="M406">
            <v>79.27</v>
          </cell>
          <cell r="N406">
            <v>2</v>
          </cell>
          <cell r="O406">
            <v>15</v>
          </cell>
          <cell r="S406">
            <v>134.75899999999999</v>
          </cell>
        </row>
        <row r="407">
          <cell r="M407">
            <v>106.02</v>
          </cell>
          <cell r="N407">
            <v>4</v>
          </cell>
          <cell r="O407">
            <v>10</v>
          </cell>
          <cell r="S407">
            <v>381.67200000000003</v>
          </cell>
        </row>
        <row r="408">
          <cell r="M408">
            <v>495.39</v>
          </cell>
          <cell r="N408">
            <v>1</v>
          </cell>
          <cell r="O408">
            <v>15</v>
          </cell>
          <cell r="S408">
            <v>421.08150000000001</v>
          </cell>
        </row>
        <row r="409">
          <cell r="M409">
            <v>368.44</v>
          </cell>
          <cell r="N409">
            <v>1</v>
          </cell>
          <cell r="O409">
            <v>5</v>
          </cell>
          <cell r="S409">
            <v>350.01799999999997</v>
          </cell>
        </row>
        <row r="410">
          <cell r="M410">
            <v>294.20999999999998</v>
          </cell>
          <cell r="N410">
            <v>1</v>
          </cell>
          <cell r="O410">
            <v>0</v>
          </cell>
          <cell r="S410">
            <v>294.20999999999998</v>
          </cell>
        </row>
        <row r="411">
          <cell r="M411">
            <v>351.59</v>
          </cell>
          <cell r="N411">
            <v>4</v>
          </cell>
          <cell r="O411">
            <v>5</v>
          </cell>
          <cell r="S411">
            <v>1336.0419999999999</v>
          </cell>
        </row>
        <row r="412">
          <cell r="M412">
            <v>968.11</v>
          </cell>
          <cell r="N412">
            <v>1</v>
          </cell>
          <cell r="O412">
            <v>15</v>
          </cell>
          <cell r="S412">
            <v>822.89350000000002</v>
          </cell>
        </row>
        <row r="413">
          <cell r="M413">
            <v>1116.49</v>
          </cell>
          <cell r="N413">
            <v>4</v>
          </cell>
          <cell r="O413">
            <v>10</v>
          </cell>
          <cell r="S413">
            <v>4019.364</v>
          </cell>
        </row>
        <row r="414">
          <cell r="M414">
            <v>498.02</v>
          </cell>
          <cell r="N414">
            <v>3</v>
          </cell>
          <cell r="O414">
            <v>10</v>
          </cell>
          <cell r="S414">
            <v>1344.654</v>
          </cell>
        </row>
        <row r="415">
          <cell r="M415">
            <v>1089.21</v>
          </cell>
          <cell r="N415">
            <v>4</v>
          </cell>
          <cell r="O415">
            <v>15</v>
          </cell>
          <cell r="S415">
            <v>3703.3139999999999</v>
          </cell>
        </row>
        <row r="416">
          <cell r="M416">
            <v>399.36</v>
          </cell>
          <cell r="N416">
            <v>3</v>
          </cell>
          <cell r="O416">
            <v>10</v>
          </cell>
          <cell r="S416">
            <v>1078.2719999999999</v>
          </cell>
        </row>
        <row r="417">
          <cell r="M417">
            <v>582.20000000000005</v>
          </cell>
          <cell r="N417">
            <v>1</v>
          </cell>
          <cell r="O417">
            <v>20</v>
          </cell>
          <cell r="S417">
            <v>465.76</v>
          </cell>
        </row>
        <row r="418">
          <cell r="M418">
            <v>286.70999999999998</v>
          </cell>
          <cell r="N418">
            <v>3</v>
          </cell>
          <cell r="O418">
            <v>0</v>
          </cell>
          <cell r="S418">
            <v>860.13</v>
          </cell>
        </row>
        <row r="419">
          <cell r="M419">
            <v>775.76</v>
          </cell>
          <cell r="N419">
            <v>4</v>
          </cell>
          <cell r="O419">
            <v>0</v>
          </cell>
          <cell r="S419">
            <v>3103.04</v>
          </cell>
        </row>
        <row r="420">
          <cell r="M420">
            <v>1175.2</v>
          </cell>
          <cell r="N420">
            <v>2</v>
          </cell>
          <cell r="O420">
            <v>0</v>
          </cell>
          <cell r="S420">
            <v>2350.4</v>
          </cell>
        </row>
        <row r="421">
          <cell r="M421">
            <v>732.12</v>
          </cell>
          <cell r="N421">
            <v>3</v>
          </cell>
          <cell r="O421">
            <v>10</v>
          </cell>
          <cell r="S421">
            <v>1976.7239999999999</v>
          </cell>
        </row>
        <row r="422">
          <cell r="M422">
            <v>442.22</v>
          </cell>
          <cell r="N422">
            <v>3</v>
          </cell>
          <cell r="O422">
            <v>10</v>
          </cell>
          <cell r="S422">
            <v>1193.9939999999999</v>
          </cell>
        </row>
        <row r="423">
          <cell r="M423">
            <v>784.42</v>
          </cell>
          <cell r="N423">
            <v>1</v>
          </cell>
          <cell r="O423">
            <v>5</v>
          </cell>
          <cell r="S423">
            <v>745.19899999999996</v>
          </cell>
        </row>
        <row r="424">
          <cell r="M424">
            <v>165.05</v>
          </cell>
          <cell r="N424">
            <v>4</v>
          </cell>
          <cell r="O424">
            <v>5</v>
          </cell>
          <cell r="S424">
            <v>627.19000000000005</v>
          </cell>
        </row>
        <row r="425">
          <cell r="M425">
            <v>1068.6199999999999</v>
          </cell>
          <cell r="N425">
            <v>3</v>
          </cell>
          <cell r="O425">
            <v>0</v>
          </cell>
          <cell r="S425">
            <v>3205.86</v>
          </cell>
        </row>
        <row r="426">
          <cell r="M426">
            <v>613.64</v>
          </cell>
          <cell r="N426">
            <v>3</v>
          </cell>
          <cell r="O426">
            <v>20</v>
          </cell>
          <cell r="S426">
            <v>1472.7360000000001</v>
          </cell>
        </row>
        <row r="427">
          <cell r="M427">
            <v>550.23</v>
          </cell>
          <cell r="N427">
            <v>3</v>
          </cell>
          <cell r="O427">
            <v>5</v>
          </cell>
          <cell r="S427">
            <v>1568.1555000000001</v>
          </cell>
        </row>
        <row r="428">
          <cell r="M428">
            <v>711.32</v>
          </cell>
          <cell r="N428">
            <v>3</v>
          </cell>
          <cell r="O428">
            <v>5</v>
          </cell>
          <cell r="S428">
            <v>2027.2619999999999</v>
          </cell>
        </row>
        <row r="429">
          <cell r="M429">
            <v>757.24</v>
          </cell>
          <cell r="N429">
            <v>2</v>
          </cell>
          <cell r="O429">
            <v>10</v>
          </cell>
          <cell r="S429">
            <v>1363.0319999999999</v>
          </cell>
        </row>
        <row r="430">
          <cell r="M430">
            <v>104.7</v>
          </cell>
          <cell r="N430">
            <v>4</v>
          </cell>
          <cell r="O430">
            <v>20</v>
          </cell>
          <cell r="S430">
            <v>335.04</v>
          </cell>
        </row>
        <row r="431">
          <cell r="M431">
            <v>825.49</v>
          </cell>
          <cell r="N431">
            <v>1</v>
          </cell>
          <cell r="O431">
            <v>0</v>
          </cell>
          <cell r="S431">
            <v>825.49</v>
          </cell>
        </row>
        <row r="432">
          <cell r="M432">
            <v>305.48</v>
          </cell>
          <cell r="N432">
            <v>1</v>
          </cell>
          <cell r="O432">
            <v>5</v>
          </cell>
          <cell r="S432">
            <v>290.20600000000002</v>
          </cell>
        </row>
        <row r="433">
          <cell r="M433">
            <v>862.46</v>
          </cell>
          <cell r="N433">
            <v>2</v>
          </cell>
          <cell r="O433">
            <v>20</v>
          </cell>
          <cell r="S433">
            <v>1379.9359999999999</v>
          </cell>
        </row>
        <row r="434">
          <cell r="M434">
            <v>990.59</v>
          </cell>
          <cell r="N434">
            <v>4</v>
          </cell>
          <cell r="O434">
            <v>20</v>
          </cell>
          <cell r="S434">
            <v>3169.8879999999999</v>
          </cell>
        </row>
        <row r="435">
          <cell r="M435">
            <v>968.67</v>
          </cell>
          <cell r="N435">
            <v>3</v>
          </cell>
          <cell r="O435">
            <v>0</v>
          </cell>
          <cell r="S435">
            <v>2906.01</v>
          </cell>
        </row>
        <row r="436">
          <cell r="M436">
            <v>671.95</v>
          </cell>
          <cell r="N436">
            <v>2</v>
          </cell>
          <cell r="O436">
            <v>20</v>
          </cell>
          <cell r="S436">
            <v>1075.1199999999999</v>
          </cell>
        </row>
        <row r="437">
          <cell r="M437">
            <v>633.79999999999995</v>
          </cell>
          <cell r="N437">
            <v>4</v>
          </cell>
          <cell r="O437">
            <v>20</v>
          </cell>
          <cell r="S437">
            <v>2028.16</v>
          </cell>
        </row>
        <row r="438">
          <cell r="M438">
            <v>188.59</v>
          </cell>
          <cell r="N438">
            <v>3</v>
          </cell>
          <cell r="O438">
            <v>20</v>
          </cell>
          <cell r="S438">
            <v>452.61599999999999</v>
          </cell>
        </row>
        <row r="439">
          <cell r="M439">
            <v>934.91</v>
          </cell>
          <cell r="N439">
            <v>2</v>
          </cell>
          <cell r="O439">
            <v>5</v>
          </cell>
          <cell r="S439">
            <v>1776.329</v>
          </cell>
        </row>
        <row r="440">
          <cell r="M440">
            <v>340.26</v>
          </cell>
          <cell r="N440">
            <v>4</v>
          </cell>
          <cell r="O440">
            <v>0</v>
          </cell>
          <cell r="S440">
            <v>1361.04</v>
          </cell>
        </row>
        <row r="441">
          <cell r="M441">
            <v>606.1</v>
          </cell>
          <cell r="N441">
            <v>1</v>
          </cell>
          <cell r="O441">
            <v>20</v>
          </cell>
          <cell r="S441">
            <v>484.88</v>
          </cell>
        </row>
        <row r="442">
          <cell r="M442">
            <v>355.44</v>
          </cell>
          <cell r="N442">
            <v>1</v>
          </cell>
          <cell r="O442">
            <v>20</v>
          </cell>
          <cell r="S442">
            <v>284.35199999999998</v>
          </cell>
        </row>
        <row r="443">
          <cell r="M443">
            <v>177.92</v>
          </cell>
          <cell r="N443">
            <v>4</v>
          </cell>
          <cell r="O443">
            <v>5</v>
          </cell>
          <cell r="S443">
            <v>676.096</v>
          </cell>
        </row>
        <row r="444">
          <cell r="M444">
            <v>762.88</v>
          </cell>
          <cell r="N444">
            <v>1</v>
          </cell>
          <cell r="O444">
            <v>0</v>
          </cell>
          <cell r="S444">
            <v>762.88</v>
          </cell>
        </row>
        <row r="445">
          <cell r="M445">
            <v>84.11</v>
          </cell>
          <cell r="N445">
            <v>4</v>
          </cell>
          <cell r="O445">
            <v>10</v>
          </cell>
          <cell r="S445">
            <v>302.79599999999999</v>
          </cell>
        </row>
        <row r="446">
          <cell r="M446">
            <v>903.4</v>
          </cell>
          <cell r="N446">
            <v>3</v>
          </cell>
          <cell r="O446">
            <v>5</v>
          </cell>
          <cell r="S446">
            <v>2574.69</v>
          </cell>
        </row>
        <row r="447">
          <cell r="M447">
            <v>394.75</v>
          </cell>
          <cell r="N447">
            <v>4</v>
          </cell>
          <cell r="O447">
            <v>0</v>
          </cell>
          <cell r="S447">
            <v>1579</v>
          </cell>
        </row>
        <row r="448">
          <cell r="M448">
            <v>20.16</v>
          </cell>
          <cell r="N448">
            <v>3</v>
          </cell>
          <cell r="O448">
            <v>20</v>
          </cell>
          <cell r="S448">
            <v>48.384</v>
          </cell>
        </row>
        <row r="449">
          <cell r="M449">
            <v>623.13</v>
          </cell>
          <cell r="N449">
            <v>2</v>
          </cell>
          <cell r="O449">
            <v>0</v>
          </cell>
          <cell r="S449">
            <v>1246.26</v>
          </cell>
        </row>
        <row r="450">
          <cell r="M450">
            <v>75.290000000000006</v>
          </cell>
          <cell r="N450">
            <v>4</v>
          </cell>
          <cell r="O450">
            <v>0</v>
          </cell>
          <cell r="S450">
            <v>301.16000000000003</v>
          </cell>
        </row>
        <row r="451">
          <cell r="M451">
            <v>345.88</v>
          </cell>
          <cell r="N451">
            <v>2</v>
          </cell>
          <cell r="O451">
            <v>0</v>
          </cell>
          <cell r="S451">
            <v>691.76</v>
          </cell>
        </row>
        <row r="452">
          <cell r="M452">
            <v>854.23</v>
          </cell>
          <cell r="N452">
            <v>1</v>
          </cell>
          <cell r="O452">
            <v>10</v>
          </cell>
          <cell r="S452">
            <v>768.80700000000002</v>
          </cell>
        </row>
        <row r="453">
          <cell r="M453">
            <v>93.97</v>
          </cell>
          <cell r="N453">
            <v>3</v>
          </cell>
          <cell r="O453">
            <v>0</v>
          </cell>
          <cell r="S453">
            <v>281.91000000000003</v>
          </cell>
        </row>
        <row r="454">
          <cell r="M454">
            <v>1010.42</v>
          </cell>
          <cell r="N454">
            <v>4</v>
          </cell>
          <cell r="O454">
            <v>10</v>
          </cell>
          <cell r="S454">
            <v>3637.5120000000002</v>
          </cell>
        </row>
        <row r="455">
          <cell r="M455">
            <v>24.51</v>
          </cell>
          <cell r="N455">
            <v>2</v>
          </cell>
          <cell r="O455">
            <v>20</v>
          </cell>
          <cell r="S455">
            <v>39.216000000000001</v>
          </cell>
        </row>
        <row r="456">
          <cell r="M456">
            <v>311.25</v>
          </cell>
          <cell r="N456">
            <v>3</v>
          </cell>
          <cell r="O456">
            <v>10</v>
          </cell>
          <cell r="S456">
            <v>840.375</v>
          </cell>
        </row>
        <row r="457">
          <cell r="M457">
            <v>894.27</v>
          </cell>
          <cell r="N457">
            <v>3</v>
          </cell>
          <cell r="O457">
            <v>20</v>
          </cell>
          <cell r="S457">
            <v>2146.248</v>
          </cell>
        </row>
        <row r="458">
          <cell r="M458">
            <v>393.2</v>
          </cell>
          <cell r="N458">
            <v>1</v>
          </cell>
          <cell r="O458">
            <v>20</v>
          </cell>
          <cell r="S458">
            <v>314.56</v>
          </cell>
        </row>
        <row r="459">
          <cell r="M459">
            <v>140.22999999999999</v>
          </cell>
          <cell r="N459">
            <v>1</v>
          </cell>
          <cell r="O459">
            <v>10</v>
          </cell>
          <cell r="S459">
            <v>126.20699999999999</v>
          </cell>
        </row>
        <row r="460">
          <cell r="M460">
            <v>445.08</v>
          </cell>
          <cell r="N460">
            <v>3</v>
          </cell>
          <cell r="O460">
            <v>5</v>
          </cell>
          <cell r="S460">
            <v>1268.4780000000001</v>
          </cell>
        </row>
        <row r="461">
          <cell r="M461">
            <v>339.06</v>
          </cell>
          <cell r="N461">
            <v>3</v>
          </cell>
          <cell r="O461">
            <v>15</v>
          </cell>
          <cell r="S461">
            <v>864.60299999999995</v>
          </cell>
        </row>
        <row r="462">
          <cell r="M462">
            <v>1014.4</v>
          </cell>
          <cell r="N462">
            <v>4</v>
          </cell>
          <cell r="O462">
            <v>0</v>
          </cell>
          <cell r="S462">
            <v>4057.6</v>
          </cell>
        </row>
        <row r="463">
          <cell r="M463">
            <v>389.75</v>
          </cell>
          <cell r="N463">
            <v>3</v>
          </cell>
          <cell r="O463">
            <v>15</v>
          </cell>
          <cell r="S463">
            <v>993.86249999999995</v>
          </cell>
        </row>
        <row r="464">
          <cell r="M464">
            <v>950.94</v>
          </cell>
          <cell r="N464">
            <v>4</v>
          </cell>
          <cell r="O464">
            <v>0</v>
          </cell>
          <cell r="S464">
            <v>3803.76</v>
          </cell>
        </row>
        <row r="465">
          <cell r="M465">
            <v>1072.4100000000001</v>
          </cell>
          <cell r="N465">
            <v>3</v>
          </cell>
          <cell r="O465">
            <v>0</v>
          </cell>
          <cell r="S465">
            <v>3217.23</v>
          </cell>
        </row>
        <row r="466">
          <cell r="M466">
            <v>531.9</v>
          </cell>
          <cell r="N466">
            <v>1</v>
          </cell>
          <cell r="O466">
            <v>20</v>
          </cell>
          <cell r="S466">
            <v>425.52</v>
          </cell>
        </row>
        <row r="467">
          <cell r="M467">
            <v>1093.73</v>
          </cell>
          <cell r="N467">
            <v>4</v>
          </cell>
          <cell r="O467">
            <v>0</v>
          </cell>
          <cell r="S467">
            <v>4374.92</v>
          </cell>
        </row>
        <row r="468">
          <cell r="M468">
            <v>465.24</v>
          </cell>
          <cell r="N468">
            <v>2</v>
          </cell>
          <cell r="O468">
            <v>0</v>
          </cell>
          <cell r="S468">
            <v>930.48</v>
          </cell>
        </row>
        <row r="469">
          <cell r="M469">
            <v>1157.6099999999999</v>
          </cell>
          <cell r="N469">
            <v>1</v>
          </cell>
          <cell r="O469">
            <v>10</v>
          </cell>
          <cell r="S469">
            <v>1041.8489999999999</v>
          </cell>
        </row>
        <row r="470">
          <cell r="M470">
            <v>125.36</v>
          </cell>
          <cell r="N470">
            <v>4</v>
          </cell>
          <cell r="O470">
            <v>15</v>
          </cell>
          <cell r="S470">
            <v>426.22399999999999</v>
          </cell>
        </row>
        <row r="471">
          <cell r="M471">
            <v>830.68</v>
          </cell>
          <cell r="N471">
            <v>4</v>
          </cell>
          <cell r="O471">
            <v>10</v>
          </cell>
          <cell r="S471">
            <v>2990.4479999999999</v>
          </cell>
        </row>
        <row r="472">
          <cell r="M472">
            <v>602.70000000000005</v>
          </cell>
          <cell r="N472">
            <v>2</v>
          </cell>
          <cell r="O472">
            <v>0</v>
          </cell>
          <cell r="S472">
            <v>1205.4000000000001</v>
          </cell>
        </row>
        <row r="473">
          <cell r="M473">
            <v>477.43</v>
          </cell>
          <cell r="N473">
            <v>4</v>
          </cell>
          <cell r="O473">
            <v>20</v>
          </cell>
          <cell r="S473">
            <v>1527.7760000000001</v>
          </cell>
        </row>
        <row r="474">
          <cell r="M474">
            <v>766.6</v>
          </cell>
          <cell r="N474">
            <v>3</v>
          </cell>
          <cell r="O474">
            <v>10</v>
          </cell>
          <cell r="S474">
            <v>2069.8200000000002</v>
          </cell>
        </row>
        <row r="475">
          <cell r="M475">
            <v>850.55</v>
          </cell>
          <cell r="N475">
            <v>2</v>
          </cell>
          <cell r="O475">
            <v>10</v>
          </cell>
          <cell r="S475">
            <v>1530.99</v>
          </cell>
        </row>
        <row r="476">
          <cell r="M476">
            <v>25.15</v>
          </cell>
          <cell r="N476">
            <v>1</v>
          </cell>
          <cell r="O476">
            <v>5</v>
          </cell>
          <cell r="S476">
            <v>23.892499999999998</v>
          </cell>
        </row>
        <row r="477">
          <cell r="M477">
            <v>217</v>
          </cell>
          <cell r="N477">
            <v>1</v>
          </cell>
          <cell r="O477">
            <v>0</v>
          </cell>
          <cell r="S477">
            <v>217</v>
          </cell>
        </row>
        <row r="478">
          <cell r="M478">
            <v>861.39</v>
          </cell>
          <cell r="N478">
            <v>3</v>
          </cell>
          <cell r="O478">
            <v>20</v>
          </cell>
          <cell r="S478">
            <v>2067.3359999999998</v>
          </cell>
        </row>
        <row r="479">
          <cell r="M479">
            <v>806.33</v>
          </cell>
          <cell r="N479">
            <v>1</v>
          </cell>
          <cell r="O479">
            <v>10</v>
          </cell>
          <cell r="S479">
            <v>725.697</v>
          </cell>
        </row>
        <row r="480">
          <cell r="M480">
            <v>1159.94</v>
          </cell>
          <cell r="N480">
            <v>4</v>
          </cell>
          <cell r="O480">
            <v>10</v>
          </cell>
          <cell r="S480">
            <v>4175.7839999999997</v>
          </cell>
        </row>
        <row r="481">
          <cell r="M481">
            <v>918.02</v>
          </cell>
          <cell r="N481">
            <v>4</v>
          </cell>
          <cell r="O481">
            <v>20</v>
          </cell>
          <cell r="S481">
            <v>2937.6640000000002</v>
          </cell>
        </row>
        <row r="482">
          <cell r="M482">
            <v>1141.9100000000001</v>
          </cell>
          <cell r="N482">
            <v>3</v>
          </cell>
          <cell r="O482">
            <v>0</v>
          </cell>
          <cell r="S482">
            <v>3425.73</v>
          </cell>
        </row>
        <row r="483">
          <cell r="M483">
            <v>849</v>
          </cell>
          <cell r="N483">
            <v>1</v>
          </cell>
          <cell r="O483">
            <v>5</v>
          </cell>
          <cell r="S483">
            <v>806.55</v>
          </cell>
        </row>
        <row r="484">
          <cell r="M484">
            <v>371.7</v>
          </cell>
          <cell r="N484">
            <v>1</v>
          </cell>
          <cell r="O484">
            <v>10</v>
          </cell>
          <cell r="S484">
            <v>334.53</v>
          </cell>
        </row>
        <row r="485">
          <cell r="M485">
            <v>144.33000000000001</v>
          </cell>
          <cell r="N485">
            <v>3</v>
          </cell>
          <cell r="O485">
            <v>5</v>
          </cell>
          <cell r="S485">
            <v>411.34050000000002</v>
          </cell>
        </row>
        <row r="486">
          <cell r="M486">
            <v>942.55</v>
          </cell>
          <cell r="N486">
            <v>2</v>
          </cell>
          <cell r="O486">
            <v>15</v>
          </cell>
          <cell r="S486">
            <v>1602.335</v>
          </cell>
        </row>
        <row r="487">
          <cell r="M487">
            <v>780.1</v>
          </cell>
          <cell r="N487">
            <v>1</v>
          </cell>
          <cell r="O487">
            <v>0</v>
          </cell>
          <cell r="S487">
            <v>780.1</v>
          </cell>
        </row>
        <row r="488">
          <cell r="M488">
            <v>76.86</v>
          </cell>
          <cell r="N488">
            <v>2</v>
          </cell>
          <cell r="O488">
            <v>15</v>
          </cell>
          <cell r="S488">
            <v>130.66200000000001</v>
          </cell>
        </row>
        <row r="489">
          <cell r="M489">
            <v>444.86</v>
          </cell>
          <cell r="N489">
            <v>1</v>
          </cell>
          <cell r="O489">
            <v>15</v>
          </cell>
          <cell r="S489">
            <v>378.13099999999997</v>
          </cell>
        </row>
        <row r="490">
          <cell r="M490">
            <v>1149.02</v>
          </cell>
          <cell r="N490">
            <v>1</v>
          </cell>
          <cell r="O490">
            <v>15</v>
          </cell>
          <cell r="S490">
            <v>976.66700000000003</v>
          </cell>
        </row>
        <row r="491">
          <cell r="M491">
            <v>610.47</v>
          </cell>
          <cell r="N491">
            <v>1</v>
          </cell>
          <cell r="O491">
            <v>0</v>
          </cell>
          <cell r="S491">
            <v>610.47</v>
          </cell>
        </row>
        <row r="492">
          <cell r="M492">
            <v>530.62</v>
          </cell>
          <cell r="N492">
            <v>1</v>
          </cell>
          <cell r="O492">
            <v>0</v>
          </cell>
          <cell r="S492">
            <v>530.62</v>
          </cell>
        </row>
        <row r="493">
          <cell r="M493">
            <v>560.09</v>
          </cell>
          <cell r="N493">
            <v>4</v>
          </cell>
          <cell r="O493">
            <v>20</v>
          </cell>
          <cell r="S493">
            <v>1792.288</v>
          </cell>
        </row>
        <row r="494">
          <cell r="M494">
            <v>266.48</v>
          </cell>
          <cell r="N494">
            <v>2</v>
          </cell>
          <cell r="O494">
            <v>5</v>
          </cell>
          <cell r="S494">
            <v>506.31200000000001</v>
          </cell>
        </row>
        <row r="495">
          <cell r="M495">
            <v>455.07</v>
          </cell>
          <cell r="N495">
            <v>2</v>
          </cell>
          <cell r="O495">
            <v>5</v>
          </cell>
          <cell r="S495">
            <v>864.63300000000004</v>
          </cell>
        </row>
        <row r="496">
          <cell r="M496">
            <v>456.38</v>
          </cell>
          <cell r="N496">
            <v>1</v>
          </cell>
          <cell r="O496">
            <v>20</v>
          </cell>
          <cell r="S496">
            <v>365.10399999999998</v>
          </cell>
        </row>
        <row r="497">
          <cell r="M497">
            <v>81.78</v>
          </cell>
          <cell r="N497">
            <v>1</v>
          </cell>
          <cell r="O497">
            <v>20</v>
          </cell>
          <cell r="S497">
            <v>65.424000000000007</v>
          </cell>
        </row>
        <row r="498">
          <cell r="M498">
            <v>925.73</v>
          </cell>
          <cell r="N498">
            <v>2</v>
          </cell>
          <cell r="O498">
            <v>15</v>
          </cell>
          <cell r="S498">
            <v>1573.741</v>
          </cell>
        </row>
        <row r="499">
          <cell r="M499">
            <v>511.48</v>
          </cell>
          <cell r="N499">
            <v>4</v>
          </cell>
          <cell r="O499">
            <v>20</v>
          </cell>
          <cell r="S499">
            <v>1636.7360000000001</v>
          </cell>
        </row>
        <row r="500">
          <cell r="M500">
            <v>990.17</v>
          </cell>
          <cell r="N500">
            <v>3</v>
          </cell>
          <cell r="O500">
            <v>10</v>
          </cell>
          <cell r="S500">
            <v>2673.4589999999998</v>
          </cell>
        </row>
        <row r="501">
          <cell r="M501">
            <v>1023.41</v>
          </cell>
          <cell r="N501">
            <v>3</v>
          </cell>
          <cell r="O501">
            <v>5</v>
          </cell>
          <cell r="S501">
            <v>2916.7184999999999</v>
          </cell>
        </row>
      </sheetData>
      <sheetData sheetId="1" refreshError="1"/>
      <sheetData sheetId="2" refreshError="1"/>
      <sheetData sheetId="3"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jemim/Desktop/JEMIMA/KNUST/Y1S1/AI%20150/NextMakers%20Internship/Level%202/Data%20Cleaning.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mima Agyeiwaa Obeng-Amoako" refreshedDate="46153.527399074075" createdVersion="8" refreshedVersion="8" minRefreshableVersion="3" recordCount="500" xr:uid="{A48BB0DE-0B80-4E76-86BB-9DA941222F1C}">
  <cacheSource type="worksheet">
    <worksheetSource ref="A1:S501" sheet="Data Cleaning" r:id="rId2"/>
  </cacheSource>
  <cacheFields count="23">
    <cacheField name="Transaction_ID" numFmtId="0">
      <sharedItems/>
    </cacheField>
    <cacheField name="Transaction_Number" numFmtId="0">
      <sharedItems containsSemiMixedTypes="0" containsString="0" containsNumber="1" containsInteger="1" minValue="1000" maxValue="1499"/>
    </cacheField>
    <cacheField name="Date" numFmtId="0">
      <sharedItems containsSemiMixedTypes="0" containsString="0" containsNumber="1" containsInteger="1" minValue="1" maxValue="31"/>
    </cacheField>
    <cacheField name="Month " numFmtId="0">
      <sharedItems containsSemiMixedTypes="0" containsString="0" containsNumber="1" containsInteger="1" minValue="1" maxValue="12"/>
    </cacheField>
    <cacheField name="Year" numFmtId="0">
      <sharedItems containsSemiMixedTypes="0" containsString="0" containsNumber="1" containsInteger="1" minValue="2024" maxValue="2024"/>
    </cacheField>
    <cacheField name="Full_Date" numFmtId="14">
      <sharedItems containsSemiMixedTypes="0" containsNonDate="0" containsDate="1" containsString="0" minDate="2024-01-01T00:00:00" maxDate="2024-12-31T00:00:00" count="267">
        <d v="2024-04-12T00:00:00"/>
        <d v="2024-12-14T00:00:00"/>
        <d v="2024-09-27T00:00:00"/>
        <d v="2024-04-16T00:00:00"/>
        <d v="2024-03-12T00:00:00"/>
        <d v="2024-07-07T00:00:00"/>
        <d v="2024-01-21T00:00:00"/>
        <d v="2024-05-01T00:00:00"/>
        <d v="2024-08-02T00:00:00"/>
        <d v="2024-11-26T00:00:00"/>
        <d v="2024-03-28T00:00:00"/>
        <d v="2024-04-09T00:00:00"/>
        <d v="2024-12-25T00:00:00"/>
        <d v="2024-05-31T00:00:00"/>
        <d v="2024-05-10T00:00:00"/>
        <d v="2024-05-29T00:00:00"/>
        <d v="2024-11-04T00:00:00"/>
        <d v="2024-09-14T00:00:00"/>
        <d v="2024-12-09T00:00:00"/>
        <d v="2024-10-20T00:00:00"/>
        <d v="2024-07-10T00:00:00"/>
        <d v="2024-10-03T00:00:00"/>
        <d v="2024-06-09T00:00:00"/>
        <d v="2024-11-09T00:00:00"/>
        <d v="2024-01-22T00:00:00"/>
        <d v="2024-09-09T00:00:00"/>
        <d v="2024-08-23T00:00:00"/>
        <d v="2024-12-10T00:00:00"/>
        <d v="2024-02-18T00:00:00"/>
        <d v="2024-02-28T00:00:00"/>
        <d v="2024-06-18T00:00:00"/>
        <d v="2024-07-06T00:00:00"/>
        <d v="2024-07-08T00:00:00"/>
        <d v="2024-06-23T00:00:00"/>
        <d v="2024-02-20T00:00:00"/>
        <d v="2024-12-29T00:00:00"/>
        <d v="2024-02-24T00:00:00"/>
        <d v="2024-08-31T00:00:00"/>
        <d v="2024-11-15T00:00:00"/>
        <d v="2024-11-02T00:00:00"/>
        <d v="2024-05-14T00:00:00"/>
        <d v="2024-11-24T00:00:00"/>
        <d v="2024-06-15T00:00:00"/>
        <d v="2024-09-30T00:00:00"/>
        <d v="2024-03-29T00:00:00"/>
        <d v="2024-11-11T00:00:00"/>
        <d v="2024-01-14T00:00:00"/>
        <d v="2024-08-29T00:00:00"/>
        <d v="2024-09-21T00:00:00"/>
        <d v="2024-12-11T00:00:00"/>
        <d v="2024-02-22T00:00:00"/>
        <d v="2024-12-05T00:00:00"/>
        <d v="2024-04-01T00:00:00"/>
        <d v="2024-09-20T00:00:00"/>
        <d v="2024-02-04T00:00:00"/>
        <d v="2024-07-24T00:00:00"/>
        <d v="2024-03-21T00:00:00"/>
        <d v="2024-02-19T00:00:00"/>
        <d v="2024-01-02T00:00:00"/>
        <d v="2024-02-23T00:00:00"/>
        <d v="2024-04-15T00:00:00"/>
        <d v="2024-09-16T00:00:00"/>
        <d v="2024-11-05T00:00:00"/>
        <d v="2024-07-09T00:00:00"/>
        <d v="2024-08-05T00:00:00"/>
        <d v="2024-02-13T00:00:00"/>
        <d v="2024-06-10T00:00:00"/>
        <d v="2024-07-20T00:00:00"/>
        <d v="2024-09-26T00:00:00"/>
        <d v="2024-12-16T00:00:00"/>
        <d v="2024-10-30T00:00:00"/>
        <d v="2024-09-08T00:00:00"/>
        <d v="2024-10-22T00:00:00"/>
        <d v="2024-07-31T00:00:00"/>
        <d v="2024-07-26T00:00:00"/>
        <d v="2024-08-24T00:00:00"/>
        <d v="2024-12-03T00:00:00"/>
        <d v="2024-10-06T00:00:00"/>
        <d v="2024-08-04T00:00:00"/>
        <d v="2024-02-10T00:00:00"/>
        <d v="2024-06-05T00:00:00"/>
        <d v="2024-01-15T00:00:00"/>
        <d v="2024-10-27T00:00:00"/>
        <d v="2024-03-05T00:00:00"/>
        <d v="2024-11-22T00:00:00"/>
        <d v="2024-01-09T00:00:00"/>
        <d v="2024-05-08T00:00:00"/>
        <d v="2024-05-15T00:00:00"/>
        <d v="2024-03-03T00:00:00"/>
        <d v="2024-05-18T00:00:00"/>
        <d v="2024-06-11T00:00:00"/>
        <d v="2024-10-15T00:00:00"/>
        <d v="2024-09-17T00:00:00"/>
        <d v="2024-08-18T00:00:00"/>
        <d v="2024-01-28T00:00:00"/>
        <d v="2024-07-19T00:00:00"/>
        <d v="2024-11-23T00:00:00"/>
        <d v="2024-09-24T00:00:00"/>
        <d v="2024-02-02T00:00:00"/>
        <d v="2024-02-17T00:00:00"/>
        <d v="2024-03-02T00:00:00"/>
        <d v="2024-08-03T00:00:00"/>
        <d v="2024-10-19T00:00:00"/>
        <d v="2024-04-08T00:00:00"/>
        <d v="2024-06-20T00:00:00"/>
        <d v="2024-08-01T00:00:00"/>
        <d v="2024-08-14T00:00:00"/>
        <d v="2024-04-10T00:00:00"/>
        <d v="2024-09-13T00:00:00"/>
        <d v="2024-01-05T00:00:00"/>
        <d v="2024-09-11T00:00:00"/>
        <d v="2024-12-24T00:00:00"/>
        <d v="2024-10-09T00:00:00"/>
        <d v="2024-07-25T00:00:00"/>
        <d v="2024-02-11T00:00:00"/>
        <d v="2024-06-27T00:00:00"/>
        <d v="2024-12-17T00:00:00"/>
        <d v="2024-08-28T00:00:00"/>
        <d v="2024-02-21T00:00:00"/>
        <d v="2024-04-05T00:00:00"/>
        <d v="2024-08-09T00:00:00"/>
        <d v="2024-05-22T00:00:00"/>
        <d v="2024-06-19T00:00:00"/>
        <d v="2024-01-29T00:00:00"/>
        <d v="2024-02-05T00:00:00"/>
        <d v="2024-01-13T00:00:00"/>
        <d v="2024-06-08T00:00:00"/>
        <d v="2024-07-05T00:00:00"/>
        <d v="2024-08-30T00:00:00"/>
        <d v="2024-03-26T00:00:00"/>
        <d v="2024-10-10T00:00:00"/>
        <d v="2024-03-06T00:00:00"/>
        <d v="2024-02-14T00:00:00"/>
        <d v="2024-05-13T00:00:00"/>
        <d v="2024-04-17T00:00:00"/>
        <d v="2024-10-12T00:00:00"/>
        <d v="2024-05-07T00:00:00"/>
        <d v="2024-12-13T00:00:00"/>
        <d v="2024-08-12T00:00:00"/>
        <d v="2024-04-30T00:00:00"/>
        <d v="2024-04-25T00:00:00"/>
        <d v="2024-08-20T00:00:00"/>
        <d v="2024-09-15T00:00:00"/>
        <d v="2024-07-16T00:00:00"/>
        <d v="2024-05-16T00:00:00"/>
        <d v="2024-11-13T00:00:00"/>
        <d v="2024-06-13T00:00:00"/>
        <d v="2024-08-21T00:00:00"/>
        <d v="2024-11-10T00:00:00"/>
        <d v="2024-06-28T00:00:00"/>
        <d v="2024-04-22T00:00:00"/>
        <d v="2024-10-21T00:00:00"/>
        <d v="2024-05-09T00:00:00"/>
        <d v="2024-08-07T00:00:00"/>
        <d v="2024-12-08T00:00:00"/>
        <d v="2024-08-11T00:00:00"/>
        <d v="2024-05-05T00:00:00"/>
        <d v="2024-09-03T00:00:00"/>
        <d v="2024-11-19T00:00:00"/>
        <d v="2024-07-21T00:00:00"/>
        <d v="2024-07-02T00:00:00"/>
        <d v="2024-05-02T00:00:00"/>
        <d v="2024-11-20T00:00:00"/>
        <d v="2024-04-07T00:00:00"/>
        <d v="2024-08-27T00:00:00"/>
        <d v="2024-05-23T00:00:00"/>
        <d v="2024-04-06T00:00:00"/>
        <d v="2024-05-03T00:00:00"/>
        <d v="2024-11-21T00:00:00"/>
        <d v="2024-05-27T00:00:00"/>
        <d v="2024-05-26T00:00:00"/>
        <d v="2024-07-17T00:00:00"/>
        <d v="2024-11-03T00:00:00"/>
        <d v="2024-02-08T00:00:00"/>
        <d v="2024-09-23T00:00:00"/>
        <d v="2024-05-30T00:00:00"/>
        <d v="2024-10-24T00:00:00"/>
        <d v="2024-09-19T00:00:00"/>
        <d v="2024-04-21T00:00:00"/>
        <d v="2024-02-29T00:00:00"/>
        <d v="2024-09-10T00:00:00"/>
        <d v="2024-05-19T00:00:00"/>
        <d v="2024-02-06T00:00:00"/>
        <d v="2024-04-29T00:00:00"/>
        <d v="2024-03-15T00:00:00"/>
        <d v="2024-04-13T00:00:00"/>
        <d v="2024-06-01T00:00:00"/>
        <d v="2024-07-12T00:00:00"/>
        <d v="2024-06-17T00:00:00"/>
        <d v="2024-03-08T00:00:00"/>
        <d v="2024-07-13T00:00:00"/>
        <d v="2024-06-24T00:00:00"/>
        <d v="2024-08-25T00:00:00"/>
        <d v="2024-06-06T00:00:00"/>
        <d v="2024-02-07T00:00:00"/>
        <d v="2024-08-17T00:00:00"/>
        <d v="2024-12-30T00:00:00"/>
        <d v="2024-01-27T00:00:00"/>
        <d v="2024-08-13T00:00:00"/>
        <d v="2024-11-12T00:00:00"/>
        <d v="2024-01-04T00:00:00"/>
        <d v="2024-01-17T00:00:00"/>
        <d v="2024-02-15T00:00:00"/>
        <d v="2024-01-06T00:00:00"/>
        <d v="2024-10-28T00:00:00"/>
        <d v="2024-06-29T00:00:00"/>
        <d v="2024-04-04T00:00:00"/>
        <d v="2024-09-12T00:00:00"/>
        <d v="2024-11-18T00:00:00"/>
        <d v="2024-01-18T00:00:00"/>
        <d v="2024-10-07T00:00:00"/>
        <d v="2024-08-10T00:00:00"/>
        <d v="2024-02-27T00:00:00"/>
        <d v="2024-06-22T00:00:00"/>
        <d v="2024-04-23T00:00:00"/>
        <d v="2024-10-14T00:00:00"/>
        <d v="2024-12-07T00:00:00"/>
        <d v="2024-05-06T00:00:00"/>
        <d v="2024-06-03T00:00:00"/>
        <d v="2024-09-29T00:00:00"/>
        <d v="2024-10-25T00:00:00"/>
        <d v="2024-09-02T00:00:00"/>
        <d v="2024-01-26T00:00:00"/>
        <d v="2024-12-20T00:00:00"/>
        <d v="2024-11-01T00:00:00"/>
        <d v="2024-11-08T00:00:00"/>
        <d v="2024-06-21T00:00:00"/>
        <d v="2024-01-20T00:00:00"/>
        <d v="2024-11-16T00:00:00"/>
        <d v="2024-05-21T00:00:00"/>
        <d v="2024-12-19T00:00:00"/>
        <d v="2024-11-17T00:00:00"/>
        <d v="2024-07-04T00:00:00"/>
        <d v="2024-05-04T00:00:00"/>
        <d v="2024-10-31T00:00:00"/>
        <d v="2024-07-14T00:00:00"/>
        <d v="2024-09-18T00:00:00"/>
        <d v="2024-12-15T00:00:00"/>
        <d v="2024-02-16T00:00:00"/>
        <d v="2024-11-06T00:00:00"/>
        <d v="2024-09-25T00:00:00"/>
        <d v="2024-05-24T00:00:00"/>
        <d v="2024-11-14T00:00:00"/>
        <d v="2024-10-01T00:00:00"/>
        <d v="2024-08-16T00:00:00"/>
        <d v="2024-04-26T00:00:00"/>
        <d v="2024-10-05T00:00:00"/>
        <d v="2024-01-01T00:00:00"/>
        <d v="2024-08-26T00:00:00"/>
        <d v="2024-10-16T00:00:00"/>
        <d v="2024-04-27T00:00:00"/>
        <d v="2024-09-28T00:00:00"/>
        <d v="2024-03-09T00:00:00"/>
        <d v="2024-10-04T00:00:00"/>
        <d v="2024-03-16T00:00:00"/>
        <d v="2024-06-02T00:00:00"/>
        <d v="2024-07-03T00:00:00"/>
        <d v="2024-10-11T00:00:00"/>
        <d v="2024-04-03T00:00:00"/>
        <d v="2024-07-22T00:00:00"/>
        <d v="2024-12-06T00:00:00"/>
        <d v="2024-12-22T00:00:00"/>
        <d v="2024-01-23T00:00:00"/>
        <d v="2024-09-06T00:00:00"/>
        <d v="2024-01-10T00:00:00"/>
        <d v="2024-01-16T00:00:00"/>
        <d v="2024-12-01T00:00:00"/>
      </sharedItems>
      <fieldGroup par="19"/>
    </cacheField>
    <cacheField name="Customer_ID" numFmtId="0">
      <sharedItems/>
    </cacheField>
    <cacheField name="Customer_Age" numFmtId="0">
      <sharedItems containsString="0" containsBlank="1" containsNumber="1" containsInteger="1" minValue="18" maxValue="59"/>
    </cacheField>
    <cacheField name="Gender" numFmtId="0">
      <sharedItems/>
    </cacheField>
    <cacheField name="Country" numFmtId="0">
      <sharedItems/>
    </cacheField>
    <cacheField name="Product_Category" numFmtId="0">
      <sharedItems count="5">
        <s v="Electronics"/>
        <s v="Beauty"/>
        <s v="Fashion"/>
        <s v="Home"/>
        <s v="Sports"/>
      </sharedItems>
    </cacheField>
    <cacheField name="Product_Name" numFmtId="0">
      <sharedItems/>
    </cacheField>
    <cacheField name="Unit_Price" numFmtId="0">
      <sharedItems containsSemiMixedTypes="0" containsString="0" containsNumber="1" minValue="20.16" maxValue="1197.43"/>
    </cacheField>
    <cacheField name="Quantity" numFmtId="0">
      <sharedItems containsSemiMixedTypes="0" containsString="0" containsNumber="1" containsInteger="1" minValue="1" maxValue="4"/>
    </cacheField>
    <cacheField name="Discount_%" numFmtId="0">
      <sharedItems containsSemiMixedTypes="0" containsString="0" containsNumber="1" containsInteger="1" minValue="0" maxValue="20"/>
    </cacheField>
    <cacheField name="Payment_Method" numFmtId="0">
      <sharedItems/>
    </cacheField>
    <cacheField name="Customer_Rating" numFmtId="0">
      <sharedItems containsString="0" containsBlank="1" containsNumber="1" containsInteger="1" minValue="1" maxValue="5"/>
    </cacheField>
    <cacheField name="Delivery_Time_Days" numFmtId="0">
      <sharedItems containsSemiMixedTypes="0" containsString="0" containsNumber="1" containsInteger="1" minValue="1" maxValue="9"/>
    </cacheField>
    <cacheField name="Total_Sales" numFmtId="0">
      <sharedItems containsSemiMixedTypes="0" containsString="0" containsNumber="1" minValue="23.892499999999998" maxValue="4641.4799999999996"/>
    </cacheField>
    <cacheField name="Months (Full_Date)" numFmtId="0" databaseField="0">
      <fieldGroup base="5">
        <rangePr groupBy="months" startDate="2024-01-01T00:00:00" endDate="2024-12-31T00:00:00"/>
        <groupItems count="14">
          <s v="&lt;1/1/2024"/>
          <s v="Jan"/>
          <s v="Feb"/>
          <s v="Mar"/>
          <s v="Apr"/>
          <s v="May"/>
          <s v="Jun"/>
          <s v="Jul"/>
          <s v="Aug"/>
          <s v="Sep"/>
          <s v="Oct"/>
          <s v="Nov"/>
          <s v="Dec"/>
          <s v="&gt;12/31/2024"/>
        </groupItems>
      </fieldGroup>
    </cacheField>
    <cacheField name="Net Revenue" numFmtId="0" formula="Total_Sales-(1-('Discount_%'/100))" databaseField="0"/>
    <cacheField name="Net_Revenue" numFmtId="0" formula="Total_Sales-(1-('Discount_%'/100))" databaseField="0"/>
    <cacheField name="Average_Sale_Price" numFmtId="0" formula="Total_Sales/Quantity" databaseField="0"/>
  </cacheFields>
  <extLst>
    <ext xmlns:x14="http://schemas.microsoft.com/office/spreadsheetml/2009/9/main" uri="{725AE2AE-9491-48be-B2B4-4EB974FC3084}">
      <x14:pivotCacheDefinition pivotCacheId="4148057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T1000"/>
    <n v="1000"/>
    <n v="12"/>
    <n v="4"/>
    <n v="2024"/>
    <x v="0"/>
    <s v="C196"/>
    <n v="19"/>
    <s v="Female"/>
    <s v="Nigeria"/>
    <x v="0"/>
    <s v="Backpack"/>
    <n v="551.41"/>
    <n v="4"/>
    <n v="20"/>
    <s v="Card"/>
    <m/>
    <n v="2"/>
    <n v="1764.5119999999999"/>
  </r>
  <r>
    <s v="T1001"/>
    <n v="1001"/>
    <n v="14"/>
    <n v="12"/>
    <n v="2024"/>
    <x v="1"/>
    <s v="C106"/>
    <n v="45"/>
    <s v="Female"/>
    <s v="Ghana"/>
    <x v="0"/>
    <s v="Fitness Tracker"/>
    <n v="903.62"/>
    <n v="1"/>
    <n v="20"/>
    <s v="PayPal"/>
    <n v="3"/>
    <n v="8"/>
    <n v="722.89599999999996"/>
  </r>
  <r>
    <s v="T1002"/>
    <n v="1002"/>
    <n v="27"/>
    <n v="9"/>
    <n v="2024"/>
    <x v="2"/>
    <s v="C195"/>
    <n v="49"/>
    <s v="Male"/>
    <s v="Kenya"/>
    <x v="1"/>
    <s v="Headphones"/>
    <n v="788.35"/>
    <n v="1"/>
    <n v="15"/>
    <s v="PayPal"/>
    <n v="4"/>
    <n v="9"/>
    <n v="670.09749999999997"/>
  </r>
  <r>
    <s v="T1003"/>
    <n v="1003"/>
    <n v="16"/>
    <n v="4"/>
    <n v="2024"/>
    <x v="3"/>
    <s v="C114"/>
    <n v="44"/>
    <s v="Female"/>
    <s v="Kenya"/>
    <x v="2"/>
    <s v="Fitness Tracker"/>
    <n v="752.7"/>
    <n v="2"/>
    <n v="10"/>
    <s v="PayPal"/>
    <n v="4"/>
    <n v="5"/>
    <n v="1354.86"/>
  </r>
  <r>
    <s v="T1004"/>
    <n v="1004"/>
    <n v="12"/>
    <n v="3"/>
    <n v="2024"/>
    <x v="4"/>
    <s v="C125"/>
    <n v="37"/>
    <s v="Female"/>
    <s v="Nigeria"/>
    <x v="3"/>
    <s v="Smartphone"/>
    <n v="435.8"/>
    <n v="3"/>
    <n v="10"/>
    <s v="Mobile_Money"/>
    <m/>
    <n v="4"/>
    <n v="1176.6600000000001"/>
  </r>
  <r>
    <s v="T1005"/>
    <n v="1005"/>
    <n v="7"/>
    <n v="7"/>
    <n v="2024"/>
    <x v="5"/>
    <s v="C113"/>
    <n v="41"/>
    <s v="Female"/>
    <s v="USA"/>
    <x v="4"/>
    <s v="Microwave"/>
    <n v="1012.91"/>
    <n v="2"/>
    <n v="15"/>
    <s v="Mobile_Money"/>
    <n v="1"/>
    <n v="6"/>
    <n v="1721.9469999999999"/>
  </r>
  <r>
    <s v="T1006"/>
    <n v="1006"/>
    <n v="21"/>
    <n v="1"/>
    <n v="2024"/>
    <x v="6"/>
    <s v="C162"/>
    <n v="29"/>
    <s v="Male"/>
    <s v="UK"/>
    <x v="4"/>
    <s v="Smartphone"/>
    <n v="576.12"/>
    <n v="4"/>
    <n v="15"/>
    <s v="Bank_Transfer"/>
    <n v="1"/>
    <n v="8"/>
    <n v="1958.808"/>
  </r>
  <r>
    <s v="T1007"/>
    <n v="1007"/>
    <n v="12"/>
    <n v="4"/>
    <n v="2024"/>
    <x v="0"/>
    <s v="C192"/>
    <n v="52"/>
    <s v="Male"/>
    <s v="UK"/>
    <x v="0"/>
    <s v="Watch"/>
    <n v="1175.3399999999999"/>
    <n v="2"/>
    <n v="15"/>
    <s v="Bank_Transfer"/>
    <n v="2"/>
    <n v="3"/>
    <n v="1998.078"/>
  </r>
  <r>
    <s v="T1008"/>
    <n v="1008"/>
    <n v="1"/>
    <n v="5"/>
    <n v="2024"/>
    <x v="7"/>
    <s v="C115"/>
    <n v="50"/>
    <s v="Female"/>
    <s v="Kenya"/>
    <x v="1"/>
    <s v="Microwave"/>
    <n v="768.29"/>
    <n v="1"/>
    <n v="10"/>
    <s v="PayPal"/>
    <n v="1"/>
    <n v="1"/>
    <n v="691.46100000000001"/>
  </r>
  <r>
    <s v="T1009"/>
    <n v="1009"/>
    <n v="2"/>
    <n v="8"/>
    <n v="2024"/>
    <x v="8"/>
    <s v="C198"/>
    <m/>
    <s v="Male"/>
    <s v=""/>
    <x v="1"/>
    <s v="Microwave"/>
    <n v="168.99"/>
    <n v="4"/>
    <n v="15"/>
    <s v="PayPal"/>
    <m/>
    <n v="4"/>
    <n v="574.56600000000003"/>
  </r>
  <r>
    <s v="T1010"/>
    <n v="1010"/>
    <n v="26"/>
    <n v="11"/>
    <n v="2024"/>
    <x v="9"/>
    <s v="C151"/>
    <n v="54"/>
    <s v="Male"/>
    <s v="UK"/>
    <x v="4"/>
    <s v="Smartphone"/>
    <n v="817.89"/>
    <n v="1"/>
    <n v="0"/>
    <s v="Mobile_Money"/>
    <n v="5"/>
    <n v="4"/>
    <n v="817.89"/>
  </r>
  <r>
    <s v="T1011"/>
    <n v="1011"/>
    <n v="28"/>
    <n v="3"/>
    <n v="2024"/>
    <x v="10"/>
    <s v="C175"/>
    <n v="29"/>
    <s v="Male"/>
    <s v="Kenya"/>
    <x v="3"/>
    <s v="Laptop"/>
    <n v="403.62"/>
    <n v="3"/>
    <n v="20"/>
    <s v="Bank_Transfer"/>
    <n v="2"/>
    <n v="1"/>
    <n v="968.68799999999999"/>
  </r>
  <r>
    <s v="T1012"/>
    <n v="1012"/>
    <n v="9"/>
    <n v="4"/>
    <n v="2024"/>
    <x v="11"/>
    <s v="C144"/>
    <n v="20"/>
    <s v="Male"/>
    <s v="USA"/>
    <x v="2"/>
    <s v="Smartphone"/>
    <n v="829.87"/>
    <n v="1"/>
    <n v="20"/>
    <s v="PayPal"/>
    <n v="1"/>
    <n v="9"/>
    <n v="663.89599999999996"/>
  </r>
  <r>
    <s v="T1013"/>
    <n v="1013"/>
    <n v="25"/>
    <n v="12"/>
    <n v="2024"/>
    <x v="12"/>
    <s v="C109"/>
    <n v="18"/>
    <s v="Male"/>
    <s v="UK"/>
    <x v="3"/>
    <s v="Fitness Tracker"/>
    <n v="102.18"/>
    <n v="1"/>
    <n v="5"/>
    <s v="Bank_Transfer"/>
    <m/>
    <n v="3"/>
    <n v="97.070999999999998"/>
  </r>
  <r>
    <s v="T1014"/>
    <n v="1014"/>
    <n v="31"/>
    <n v="5"/>
    <n v="2024"/>
    <x v="13"/>
    <s v="C172"/>
    <n v="50"/>
    <s v="Male"/>
    <s v="Kenya"/>
    <x v="2"/>
    <s v="Laptop"/>
    <n v="226.36"/>
    <n v="2"/>
    <n v="5"/>
    <s v="Bank_Transfer"/>
    <n v="5"/>
    <n v="5"/>
    <n v="430.084"/>
  </r>
  <r>
    <s v="T1015"/>
    <n v="1015"/>
    <n v="10"/>
    <n v="5"/>
    <n v="2024"/>
    <x v="14"/>
    <s v="C168"/>
    <n v="57"/>
    <s v="Male"/>
    <s v="Kenya"/>
    <x v="4"/>
    <s v="Fitness Tracker"/>
    <n v="1029.77"/>
    <n v="1"/>
    <n v="20"/>
    <s v="PayPal"/>
    <n v="1"/>
    <n v="6"/>
    <n v="823.81600000000003"/>
  </r>
  <r>
    <s v="T1016"/>
    <n v="1016"/>
    <n v="29"/>
    <n v="5"/>
    <n v="2024"/>
    <x v="15"/>
    <s v="C157"/>
    <n v="27"/>
    <s v="Male"/>
    <s v="Ghana"/>
    <x v="2"/>
    <s v="Watch"/>
    <n v="288.07"/>
    <n v="4"/>
    <n v="0"/>
    <s v="Mobile_Money"/>
    <n v="2"/>
    <n v="8"/>
    <n v="1152.28"/>
  </r>
  <r>
    <s v="T1017"/>
    <n v="1017"/>
    <n v="4"/>
    <n v="11"/>
    <n v="2024"/>
    <x v="16"/>
    <s v="C176"/>
    <n v="46"/>
    <s v="Male"/>
    <s v="USA"/>
    <x v="1"/>
    <s v="Headphones"/>
    <n v="1007.71"/>
    <n v="4"/>
    <n v="10"/>
    <s v="PayPal"/>
    <n v="3"/>
    <n v="6"/>
    <n v="3627.7559999999999"/>
  </r>
  <r>
    <s v="T1018"/>
    <n v="1018"/>
    <n v="14"/>
    <n v="9"/>
    <n v="2024"/>
    <x v="17"/>
    <s v="C139"/>
    <n v="30"/>
    <s v="Male"/>
    <s v="Ghana"/>
    <x v="0"/>
    <s v="T-shirt"/>
    <n v="349.55"/>
    <n v="3"/>
    <n v="10"/>
    <s v="PayPal"/>
    <n v="4"/>
    <n v="3"/>
    <n v="943.78499999999997"/>
  </r>
  <r>
    <s v="T1019"/>
    <n v="1019"/>
    <n v="9"/>
    <n v="12"/>
    <n v="2024"/>
    <x v="18"/>
    <s v="C178"/>
    <n v="29"/>
    <s v="Female"/>
    <s v="Nigeria"/>
    <x v="0"/>
    <s v="Laptop"/>
    <n v="778.6"/>
    <n v="4"/>
    <n v="0"/>
    <s v="Bank_Transfer"/>
    <n v="1"/>
    <n v="6"/>
    <n v="3114.4"/>
  </r>
  <r>
    <s v="T1020"/>
    <n v="1020"/>
    <n v="20"/>
    <n v="10"/>
    <n v="2024"/>
    <x v="19"/>
    <s v="C119"/>
    <n v="48"/>
    <s v="Female"/>
    <s v="Ghana"/>
    <x v="4"/>
    <s v="Watch"/>
    <n v="839.1"/>
    <n v="2"/>
    <n v="10"/>
    <s v="PayPal"/>
    <n v="2"/>
    <n v="1"/>
    <n v="1510.38"/>
  </r>
  <r>
    <s v="T1021"/>
    <n v="1021"/>
    <n v="10"/>
    <n v="7"/>
    <n v="2024"/>
    <x v="20"/>
    <s v="C152"/>
    <n v="19"/>
    <s v="Male"/>
    <s v="Ghana"/>
    <x v="1"/>
    <s v="Backpack"/>
    <n v="624.92999999999995"/>
    <n v="3"/>
    <n v="15"/>
    <s v="Mobile_Money"/>
    <n v="5"/>
    <n v="4"/>
    <n v="1593.5715"/>
  </r>
  <r>
    <s v="T1022"/>
    <n v="1022"/>
    <n v="3"/>
    <n v="10"/>
    <n v="2024"/>
    <x v="21"/>
    <s v="C150"/>
    <n v="52"/>
    <s v="Female"/>
    <s v="UK"/>
    <x v="3"/>
    <s v="Watch"/>
    <n v="380.27"/>
    <n v="4"/>
    <n v="20"/>
    <s v="PayPal"/>
    <n v="1"/>
    <n v="6"/>
    <n v="1216.864"/>
  </r>
  <r>
    <s v="T1023"/>
    <n v="1023"/>
    <n v="9"/>
    <n v="6"/>
    <n v="2024"/>
    <x v="22"/>
    <s v="C155"/>
    <n v="40"/>
    <s v="Female"/>
    <s v="Kenya"/>
    <x v="1"/>
    <s v="Smartphone"/>
    <n v="270.92"/>
    <n v="2"/>
    <n v="20"/>
    <s v="Mobile_Money"/>
    <n v="1"/>
    <n v="7"/>
    <n v="433.47199999999998"/>
  </r>
  <r>
    <s v="T1024"/>
    <n v="1024"/>
    <n v="9"/>
    <n v="11"/>
    <n v="2024"/>
    <x v="23"/>
    <s v="C130"/>
    <n v="34"/>
    <s v="Male"/>
    <s v="USA"/>
    <x v="0"/>
    <s v="Smartphone"/>
    <n v="59.16"/>
    <n v="4"/>
    <n v="0"/>
    <s v="Mobile_Money"/>
    <n v="4"/>
    <n v="3"/>
    <n v="236.64"/>
  </r>
  <r>
    <s v="T1025"/>
    <n v="1025"/>
    <n v="22"/>
    <n v="1"/>
    <n v="2024"/>
    <x v="24"/>
    <s v="C131"/>
    <n v="43"/>
    <s v="Male"/>
    <s v="Ghana"/>
    <x v="0"/>
    <s v="T-shirt"/>
    <n v="378.66"/>
    <n v="4"/>
    <n v="10"/>
    <s v="Bank_Transfer"/>
    <n v="2"/>
    <n v="9"/>
    <n v="1363.1759999999999"/>
  </r>
  <r>
    <s v="T1026"/>
    <n v="1026"/>
    <n v="9"/>
    <n v="9"/>
    <n v="2024"/>
    <x v="25"/>
    <s v="C113"/>
    <n v="25"/>
    <s v="Male"/>
    <s v="USA"/>
    <x v="1"/>
    <s v="Watch"/>
    <n v="790.73"/>
    <n v="1"/>
    <n v="5"/>
    <s v="Card"/>
    <n v="3"/>
    <n v="7"/>
    <n v="751.19349999999997"/>
  </r>
  <r>
    <s v="T1027"/>
    <n v="1027"/>
    <n v="23"/>
    <n v="8"/>
    <n v="2024"/>
    <x v="26"/>
    <s v="C119"/>
    <n v="46"/>
    <s v="Female"/>
    <s v="Ghana"/>
    <x v="1"/>
    <s v="Sneakers"/>
    <n v="1127.2"/>
    <n v="4"/>
    <n v="5"/>
    <s v="Card"/>
    <n v="5"/>
    <n v="1"/>
    <n v="4283.3599999999997"/>
  </r>
  <r>
    <s v="T1028"/>
    <n v="1028"/>
    <n v="10"/>
    <n v="12"/>
    <n v="2024"/>
    <x v="27"/>
    <s v="C171"/>
    <n v="43"/>
    <s v="Female"/>
    <s v="Nigeria"/>
    <x v="0"/>
    <s v="Headphones"/>
    <n v="1048.02"/>
    <n v="4"/>
    <n v="10"/>
    <s v="Bank_Transfer"/>
    <n v="2"/>
    <n v="2"/>
    <n v="3772.8719999999998"/>
  </r>
  <r>
    <s v="T1029"/>
    <n v="1029"/>
    <n v="18"/>
    <n v="2"/>
    <n v="2024"/>
    <x v="28"/>
    <s v="C194"/>
    <n v="27"/>
    <s v="Male"/>
    <s v="Ghana"/>
    <x v="3"/>
    <s v="Smartphone"/>
    <n v="923.96"/>
    <n v="2"/>
    <n v="5"/>
    <s v="PayPal"/>
    <n v="5"/>
    <n v="1"/>
    <n v="1755.5239999999999"/>
  </r>
  <r>
    <s v="T1030"/>
    <n v="1030"/>
    <n v="28"/>
    <n v="2"/>
    <n v="2024"/>
    <x v="29"/>
    <s v="C149"/>
    <m/>
    <s v="Male"/>
    <s v=""/>
    <x v="4"/>
    <s v="T-shirt"/>
    <n v="950.37"/>
    <n v="2"/>
    <n v="0"/>
    <s v="Bank_Transfer"/>
    <m/>
    <n v="9"/>
    <n v="1900.74"/>
  </r>
  <r>
    <s v="T1031"/>
    <n v="1031"/>
    <n v="18"/>
    <n v="6"/>
    <n v="2024"/>
    <x v="30"/>
    <s v="C153"/>
    <n v="51"/>
    <s v="Male"/>
    <s v="Kenya"/>
    <x v="4"/>
    <s v="Headphones"/>
    <n v="804.68"/>
    <n v="1"/>
    <n v="0"/>
    <s v="Mobile_Money"/>
    <n v="4"/>
    <n v="9"/>
    <n v="804.68"/>
  </r>
  <r>
    <s v="T1032"/>
    <n v="1032"/>
    <n v="6"/>
    <n v="7"/>
    <n v="2024"/>
    <x v="31"/>
    <s v="C152"/>
    <n v="58"/>
    <s v="Female"/>
    <s v="Nigeria"/>
    <x v="1"/>
    <s v="Watch"/>
    <n v="327.14"/>
    <n v="4"/>
    <n v="10"/>
    <s v="Card"/>
    <n v="4"/>
    <n v="7"/>
    <n v="1177.704"/>
  </r>
  <r>
    <s v="T1033"/>
    <n v="1033"/>
    <n v="27"/>
    <n v="9"/>
    <n v="2024"/>
    <x v="2"/>
    <s v="C163"/>
    <n v="24"/>
    <s v="Female"/>
    <s v="Ghana"/>
    <x v="4"/>
    <s v="Watch"/>
    <n v="1090.49"/>
    <n v="1"/>
    <n v="5"/>
    <s v="Bank_Transfer"/>
    <m/>
    <n v="3"/>
    <n v="1035.9655"/>
  </r>
  <r>
    <s v="T1034"/>
    <n v="1034"/>
    <n v="8"/>
    <n v="7"/>
    <n v="2024"/>
    <x v="32"/>
    <s v="C170"/>
    <n v="21"/>
    <s v="Female"/>
    <s v="USA"/>
    <x v="0"/>
    <s v="Microwave"/>
    <n v="811.46"/>
    <n v="4"/>
    <n v="0"/>
    <s v="PayPal"/>
    <n v="3"/>
    <n v="5"/>
    <n v="3245.84"/>
  </r>
  <r>
    <s v="T1035"/>
    <n v="1035"/>
    <n v="23"/>
    <n v="6"/>
    <n v="2024"/>
    <x v="33"/>
    <s v="C108"/>
    <n v="28"/>
    <s v="Female"/>
    <s v="Nigeria"/>
    <x v="0"/>
    <s v="T-shirt"/>
    <n v="681.32"/>
    <n v="3"/>
    <n v="0"/>
    <s v="Bank_Transfer"/>
    <n v="4"/>
    <n v="4"/>
    <n v="2043.96"/>
  </r>
  <r>
    <s v="T1036"/>
    <n v="1036"/>
    <n v="20"/>
    <n v="2"/>
    <n v="2024"/>
    <x v="34"/>
    <s v="C190"/>
    <n v="46"/>
    <s v="Male"/>
    <s v="Nigeria"/>
    <x v="1"/>
    <s v="Smartphone"/>
    <n v="150.97"/>
    <n v="3"/>
    <n v="15"/>
    <s v="Card"/>
    <n v="1"/>
    <n v="7"/>
    <n v="384.9735"/>
  </r>
  <r>
    <s v="T1037"/>
    <n v="1037"/>
    <n v="29"/>
    <n v="12"/>
    <n v="2024"/>
    <x v="35"/>
    <s v="C176"/>
    <n v="53"/>
    <s v="Male"/>
    <s v="Ghana"/>
    <x v="1"/>
    <s v="Sneakers"/>
    <n v="547.53"/>
    <n v="1"/>
    <n v="15"/>
    <s v="Bank_Transfer"/>
    <n v="3"/>
    <n v="9"/>
    <n v="465.40050000000002"/>
  </r>
  <r>
    <s v="T1038"/>
    <n v="1038"/>
    <n v="24"/>
    <n v="2"/>
    <n v="2024"/>
    <x v="36"/>
    <s v="C121"/>
    <n v="42"/>
    <s v="Male"/>
    <s v="Nigeria"/>
    <x v="1"/>
    <s v="Watch"/>
    <n v="563.22"/>
    <n v="1"/>
    <n v="0"/>
    <s v="Bank_Transfer"/>
    <n v="2"/>
    <n v="2"/>
    <n v="563.22"/>
  </r>
  <r>
    <s v="T1039"/>
    <n v="1039"/>
    <n v="31"/>
    <n v="8"/>
    <n v="2024"/>
    <x v="37"/>
    <s v="C187"/>
    <n v="38"/>
    <s v="Male"/>
    <s v="USA"/>
    <x v="3"/>
    <s v="Sneakers"/>
    <n v="1040.19"/>
    <n v="1"/>
    <n v="10"/>
    <s v="Card"/>
    <n v="4"/>
    <n v="8"/>
    <n v="936.17100000000005"/>
  </r>
  <r>
    <s v="T1040"/>
    <n v="1040"/>
    <n v="15"/>
    <n v="11"/>
    <n v="2024"/>
    <x v="38"/>
    <s v="C192"/>
    <n v="53"/>
    <s v="Female"/>
    <s v="Nigeria"/>
    <x v="4"/>
    <s v="Watch"/>
    <n v="665.04"/>
    <n v="2"/>
    <n v="20"/>
    <s v="Mobile_Money"/>
    <n v="3"/>
    <n v="9"/>
    <n v="1064.0640000000001"/>
  </r>
  <r>
    <s v="T1041"/>
    <n v="1041"/>
    <n v="10"/>
    <n v="5"/>
    <n v="2024"/>
    <x v="14"/>
    <s v="C155"/>
    <n v="27"/>
    <s v="Female"/>
    <s v="USA"/>
    <x v="1"/>
    <s v="Smartphone"/>
    <n v="468.87"/>
    <n v="2"/>
    <n v="20"/>
    <s v="Mobile_Money"/>
    <n v="1"/>
    <n v="9"/>
    <n v="750.19200000000001"/>
  </r>
  <r>
    <s v="T1042"/>
    <n v="1042"/>
    <n v="2"/>
    <n v="11"/>
    <n v="2024"/>
    <x v="39"/>
    <s v="C142"/>
    <n v="54"/>
    <s v="Male"/>
    <s v="Ghana"/>
    <x v="2"/>
    <s v="Headphones"/>
    <n v="1172.6199999999999"/>
    <n v="2"/>
    <n v="0"/>
    <s v="Card"/>
    <m/>
    <n v="7"/>
    <n v="2345.2399999999998"/>
  </r>
  <r>
    <s v="T1043"/>
    <n v="1043"/>
    <n v="14"/>
    <n v="5"/>
    <n v="2024"/>
    <x v="40"/>
    <s v="C177"/>
    <n v="26"/>
    <s v="Male"/>
    <s v="Kenya"/>
    <x v="2"/>
    <s v="Blender"/>
    <n v="150.65"/>
    <n v="1"/>
    <n v="0"/>
    <s v="Bank_Transfer"/>
    <n v="5"/>
    <n v="9"/>
    <n v="150.65"/>
  </r>
  <r>
    <s v="T1044"/>
    <n v="1044"/>
    <n v="21"/>
    <n v="1"/>
    <n v="2024"/>
    <x v="6"/>
    <s v="C106"/>
    <n v="41"/>
    <s v="Female"/>
    <s v="Nigeria"/>
    <x v="0"/>
    <s v="Headphones"/>
    <n v="518.61"/>
    <n v="4"/>
    <n v="0"/>
    <s v="Card"/>
    <n v="5"/>
    <n v="9"/>
    <n v="2074.44"/>
  </r>
  <r>
    <s v="T1045"/>
    <n v="1045"/>
    <n v="24"/>
    <n v="11"/>
    <n v="2024"/>
    <x v="41"/>
    <s v="C169"/>
    <n v="52"/>
    <s v="Male"/>
    <s v="Kenya"/>
    <x v="4"/>
    <s v="Watch"/>
    <n v="69.59"/>
    <n v="3"/>
    <n v="10"/>
    <s v="Mobile_Money"/>
    <n v="1"/>
    <n v="3"/>
    <n v="187.893"/>
  </r>
  <r>
    <s v="T1046"/>
    <n v="1046"/>
    <n v="15"/>
    <n v="6"/>
    <n v="2024"/>
    <x v="42"/>
    <s v="C147"/>
    <n v="52"/>
    <s v="Female"/>
    <s v="USA"/>
    <x v="1"/>
    <s v="Fitness Tracker"/>
    <n v="893.09"/>
    <n v="1"/>
    <n v="15"/>
    <s v="PayPal"/>
    <n v="1"/>
    <n v="4"/>
    <n v="759.12649999999996"/>
  </r>
  <r>
    <s v="T1047"/>
    <n v="1047"/>
    <n v="30"/>
    <n v="9"/>
    <n v="2024"/>
    <x v="43"/>
    <s v="C166"/>
    <n v="53"/>
    <s v="Male"/>
    <s v="Nigeria"/>
    <x v="2"/>
    <s v="Blender"/>
    <n v="1103.33"/>
    <n v="2"/>
    <n v="0"/>
    <s v="Bank_Transfer"/>
    <n v="5"/>
    <n v="2"/>
    <n v="2206.66"/>
  </r>
  <r>
    <s v="T1048"/>
    <n v="1048"/>
    <n v="29"/>
    <n v="3"/>
    <n v="2024"/>
    <x v="44"/>
    <s v="C120"/>
    <n v="35"/>
    <s v="Male"/>
    <s v="UK"/>
    <x v="4"/>
    <s v="Blender"/>
    <n v="350.44"/>
    <n v="2"/>
    <n v="0"/>
    <s v="Mobile_Money"/>
    <m/>
    <n v="3"/>
    <n v="700.88"/>
  </r>
  <r>
    <s v="T1049"/>
    <n v="1049"/>
    <n v="11"/>
    <n v="11"/>
    <n v="2024"/>
    <x v="45"/>
    <s v="C178"/>
    <n v="56"/>
    <s v="Male"/>
    <s v="Kenya"/>
    <x v="0"/>
    <s v="Sneakers"/>
    <n v="1032.8399999999999"/>
    <n v="1"/>
    <n v="5"/>
    <s v="Bank_Transfer"/>
    <n v="3"/>
    <n v="5"/>
    <n v="981.19799999999998"/>
  </r>
  <r>
    <s v="T1050"/>
    <n v="1050"/>
    <n v="14"/>
    <n v="1"/>
    <n v="2024"/>
    <x v="46"/>
    <s v="C148"/>
    <n v="49"/>
    <s v="Male"/>
    <s v="Nigeria"/>
    <x v="3"/>
    <s v="T-shirt"/>
    <n v="364.82"/>
    <n v="1"/>
    <n v="10"/>
    <s v="Card"/>
    <n v="5"/>
    <n v="5"/>
    <n v="328.33800000000002"/>
  </r>
  <r>
    <s v="T1051"/>
    <n v="1051"/>
    <n v="29"/>
    <n v="8"/>
    <n v="2024"/>
    <x v="47"/>
    <s v="C106"/>
    <n v="41"/>
    <s v="Male"/>
    <s v="Kenya"/>
    <x v="4"/>
    <s v="Sneakers"/>
    <n v="1094.71"/>
    <n v="2"/>
    <n v="0"/>
    <s v="PayPal"/>
    <n v="1"/>
    <n v="6"/>
    <n v="2189.42"/>
  </r>
  <r>
    <s v="T1052"/>
    <n v="1052"/>
    <n v="21"/>
    <n v="9"/>
    <n v="2024"/>
    <x v="48"/>
    <s v="C180"/>
    <n v="40"/>
    <s v="Male"/>
    <s v="Nigeria"/>
    <x v="4"/>
    <s v="Sneakers"/>
    <n v="909.68"/>
    <n v="4"/>
    <n v="5"/>
    <s v="Card"/>
    <n v="4"/>
    <n v="7"/>
    <n v="3456.7840000000001"/>
  </r>
  <r>
    <s v="T1053"/>
    <n v="1053"/>
    <n v="11"/>
    <n v="12"/>
    <n v="2024"/>
    <x v="49"/>
    <s v="C194"/>
    <n v="49"/>
    <s v="Male"/>
    <s v="Ghana"/>
    <x v="3"/>
    <s v="Fitness Tracker"/>
    <n v="969.79"/>
    <n v="2"/>
    <n v="20"/>
    <s v="PayPal"/>
    <n v="2"/>
    <n v="7"/>
    <n v="1551.664"/>
  </r>
  <r>
    <s v="T1054"/>
    <n v="1054"/>
    <n v="22"/>
    <n v="2"/>
    <n v="2024"/>
    <x v="50"/>
    <s v="C133"/>
    <n v="54"/>
    <s v="Female"/>
    <s v="Kenya"/>
    <x v="4"/>
    <s v="Headphones"/>
    <n v="41.25"/>
    <n v="2"/>
    <n v="0"/>
    <s v="Bank_Transfer"/>
    <m/>
    <n v="1"/>
    <n v="82.5"/>
  </r>
  <r>
    <s v="T1055"/>
    <n v="1055"/>
    <n v="5"/>
    <n v="12"/>
    <n v="2024"/>
    <x v="51"/>
    <s v="C128"/>
    <n v="29"/>
    <s v="Female"/>
    <s v="UK"/>
    <x v="0"/>
    <s v="Headphones"/>
    <n v="1156.1199999999999"/>
    <n v="1"/>
    <n v="0"/>
    <s v="Bank_Transfer"/>
    <m/>
    <n v="2"/>
    <n v="1156.1199999999999"/>
  </r>
  <r>
    <s v="T1056"/>
    <n v="1056"/>
    <n v="1"/>
    <n v="4"/>
    <n v="2024"/>
    <x v="52"/>
    <s v="C176"/>
    <n v="30"/>
    <s v="Female"/>
    <s v="UK"/>
    <x v="0"/>
    <s v="Backpack"/>
    <n v="877.47"/>
    <n v="4"/>
    <n v="5"/>
    <s v="Card"/>
    <n v="4"/>
    <n v="9"/>
    <n v="3334.386"/>
  </r>
  <r>
    <s v="T1057"/>
    <n v="1057"/>
    <n v="20"/>
    <n v="9"/>
    <n v="2024"/>
    <x v="53"/>
    <s v="C174"/>
    <n v="40"/>
    <s v="Female"/>
    <s v="USA"/>
    <x v="3"/>
    <s v="Watch"/>
    <n v="379.61"/>
    <n v="2"/>
    <n v="10"/>
    <s v="PayPal"/>
    <n v="4"/>
    <n v="2"/>
    <n v="683.298"/>
  </r>
  <r>
    <s v="T1058"/>
    <n v="1058"/>
    <n v="4"/>
    <n v="2"/>
    <n v="2024"/>
    <x v="54"/>
    <s v="C158"/>
    <n v="42"/>
    <s v="Female"/>
    <s v="Nigeria"/>
    <x v="1"/>
    <s v="Fitness Tracker"/>
    <n v="998.69"/>
    <n v="2"/>
    <n v="0"/>
    <s v="PayPal"/>
    <n v="1"/>
    <n v="6"/>
    <n v="1997.38"/>
  </r>
  <r>
    <s v="T1059"/>
    <n v="1059"/>
    <n v="24"/>
    <n v="7"/>
    <n v="2024"/>
    <x v="55"/>
    <s v="C122"/>
    <n v="52"/>
    <s v="Male"/>
    <s v="Kenya"/>
    <x v="2"/>
    <s v="Backpack"/>
    <n v="352.2"/>
    <n v="3"/>
    <n v="20"/>
    <s v="Bank_Transfer"/>
    <n v="5"/>
    <n v="1"/>
    <n v="845.28"/>
  </r>
  <r>
    <s v="T1060"/>
    <n v="1060"/>
    <n v="21"/>
    <n v="3"/>
    <n v="2024"/>
    <x v="56"/>
    <s v="C124"/>
    <n v="58"/>
    <s v="Male"/>
    <s v="USA"/>
    <x v="1"/>
    <s v="Smartphone"/>
    <n v="1049.8499999999999"/>
    <n v="1"/>
    <n v="0"/>
    <s v="Card"/>
    <n v="3"/>
    <n v="3"/>
    <n v="1049.8499999999999"/>
  </r>
  <r>
    <s v="T1061"/>
    <n v="1061"/>
    <n v="19"/>
    <n v="2"/>
    <n v="2024"/>
    <x v="57"/>
    <s v="C182"/>
    <n v="47"/>
    <s v="Female"/>
    <s v="Kenya"/>
    <x v="4"/>
    <s v="Watch"/>
    <n v="152.84"/>
    <n v="3"/>
    <n v="20"/>
    <s v="PayPal"/>
    <m/>
    <n v="2"/>
    <n v="366.81599999999997"/>
  </r>
  <r>
    <s v="T1062"/>
    <n v="1062"/>
    <n v="25"/>
    <n v="12"/>
    <n v="2024"/>
    <x v="12"/>
    <s v="C159"/>
    <n v="34"/>
    <s v="Male"/>
    <s v="Nigeria"/>
    <x v="2"/>
    <s v="Watch"/>
    <n v="850.35"/>
    <n v="3"/>
    <n v="15"/>
    <s v="Bank_Transfer"/>
    <m/>
    <n v="3"/>
    <n v="2168.3924999999999"/>
  </r>
  <r>
    <s v="T1063"/>
    <n v="1063"/>
    <n v="2"/>
    <n v="1"/>
    <n v="2024"/>
    <x v="58"/>
    <s v="C175"/>
    <n v="37"/>
    <s v="Female"/>
    <s v="UK"/>
    <x v="3"/>
    <s v="Microwave"/>
    <n v="658.02"/>
    <n v="2"/>
    <n v="15"/>
    <s v="Mobile_Money"/>
    <n v="4"/>
    <n v="5"/>
    <n v="1118.634"/>
  </r>
  <r>
    <s v="T1064"/>
    <n v="1064"/>
    <n v="23"/>
    <n v="2"/>
    <n v="2024"/>
    <x v="59"/>
    <s v="C175"/>
    <n v="42"/>
    <s v="Female"/>
    <s v="Ghana"/>
    <x v="3"/>
    <s v="Microwave"/>
    <n v="133.91"/>
    <n v="1"/>
    <n v="20"/>
    <s v="Card"/>
    <n v="5"/>
    <n v="6"/>
    <n v="107.128"/>
  </r>
  <r>
    <s v="T1065"/>
    <n v="1065"/>
    <n v="15"/>
    <n v="4"/>
    <n v="2024"/>
    <x v="60"/>
    <s v="C193"/>
    <n v="39"/>
    <s v="Male"/>
    <s v="UK"/>
    <x v="2"/>
    <s v="Laptop"/>
    <n v="305.43"/>
    <n v="4"/>
    <n v="10"/>
    <s v="Mobile_Money"/>
    <m/>
    <n v="9"/>
    <n v="1099.548"/>
  </r>
  <r>
    <s v="T1066"/>
    <n v="1066"/>
    <n v="16"/>
    <n v="9"/>
    <n v="2024"/>
    <x v="61"/>
    <s v="C110"/>
    <n v="30"/>
    <s v="Male"/>
    <s v="USA"/>
    <x v="0"/>
    <s v="Laptop"/>
    <n v="34.64"/>
    <n v="2"/>
    <n v="0"/>
    <s v="Card"/>
    <n v="3"/>
    <n v="4"/>
    <n v="69.28"/>
  </r>
  <r>
    <s v="T1067"/>
    <n v="1067"/>
    <n v="5"/>
    <n v="11"/>
    <n v="2024"/>
    <x v="62"/>
    <s v="C142"/>
    <n v="36"/>
    <s v="Male"/>
    <s v="Ghana"/>
    <x v="2"/>
    <s v="Sneakers"/>
    <n v="573.15"/>
    <n v="4"/>
    <n v="0"/>
    <s v="Bank_Transfer"/>
    <n v="4"/>
    <n v="7"/>
    <n v="2292.6"/>
  </r>
  <r>
    <s v="T1068"/>
    <n v="1068"/>
    <n v="9"/>
    <n v="7"/>
    <n v="2024"/>
    <x v="63"/>
    <s v="C185"/>
    <m/>
    <s v="Female"/>
    <s v=""/>
    <x v="4"/>
    <s v="Smartphone"/>
    <n v="375.49"/>
    <n v="4"/>
    <n v="15"/>
    <s v="PayPal"/>
    <m/>
    <n v="6"/>
    <n v="1276.6659999999999"/>
  </r>
  <r>
    <s v="T1069"/>
    <n v="1069"/>
    <n v="5"/>
    <n v="8"/>
    <n v="2024"/>
    <x v="64"/>
    <s v="C197"/>
    <n v="29"/>
    <s v="Male"/>
    <s v="Nigeria"/>
    <x v="0"/>
    <s v="Blender"/>
    <n v="726.06"/>
    <n v="1"/>
    <n v="20"/>
    <s v="PayPal"/>
    <n v="5"/>
    <n v="2"/>
    <n v="580.84799999999996"/>
  </r>
  <r>
    <s v="T1070"/>
    <n v="1070"/>
    <n v="13"/>
    <n v="2"/>
    <n v="2024"/>
    <x v="65"/>
    <s v="C174"/>
    <n v="58"/>
    <s v="Female"/>
    <s v="Ghana"/>
    <x v="3"/>
    <s v="Blender"/>
    <n v="370.74"/>
    <n v="3"/>
    <n v="0"/>
    <s v="PayPal"/>
    <m/>
    <n v="8"/>
    <n v="1112.22"/>
  </r>
  <r>
    <s v="T1071"/>
    <n v="1071"/>
    <n v="10"/>
    <n v="6"/>
    <n v="2024"/>
    <x v="66"/>
    <s v="C141"/>
    <n v="36"/>
    <s v="Female"/>
    <s v="USA"/>
    <x v="2"/>
    <s v="Microwave"/>
    <n v="373.9"/>
    <n v="1"/>
    <n v="0"/>
    <s v="Card"/>
    <n v="2"/>
    <n v="7"/>
    <n v="373.9"/>
  </r>
  <r>
    <s v="T1072"/>
    <n v="1072"/>
    <n v="20"/>
    <n v="7"/>
    <n v="2024"/>
    <x v="67"/>
    <s v="C156"/>
    <n v="29"/>
    <s v="Female"/>
    <s v="Nigeria"/>
    <x v="1"/>
    <s v="Microwave"/>
    <n v="896.97"/>
    <n v="4"/>
    <n v="10"/>
    <s v="Bank_Transfer"/>
    <m/>
    <n v="7"/>
    <n v="3229.0920000000001"/>
  </r>
  <r>
    <s v="T1073"/>
    <n v="1073"/>
    <n v="26"/>
    <n v="9"/>
    <n v="2024"/>
    <x v="68"/>
    <s v="C171"/>
    <m/>
    <s v="Male"/>
    <s v=""/>
    <x v="1"/>
    <s v="Microwave"/>
    <n v="76.81"/>
    <n v="2"/>
    <n v="5"/>
    <s v="Mobile_Money"/>
    <m/>
    <n v="8"/>
    <n v="145.93899999999999"/>
  </r>
  <r>
    <s v="T1074"/>
    <n v="1074"/>
    <n v="16"/>
    <n v="12"/>
    <n v="2024"/>
    <x v="69"/>
    <s v="C120"/>
    <n v="24"/>
    <s v="Male"/>
    <s v="Nigeria"/>
    <x v="4"/>
    <s v="Fitness Tracker"/>
    <n v="1085.42"/>
    <n v="4"/>
    <n v="15"/>
    <s v="Bank_Transfer"/>
    <m/>
    <n v="1"/>
    <n v="3690.4279999999999"/>
  </r>
  <r>
    <s v="T1075"/>
    <n v="1075"/>
    <n v="30"/>
    <n v="10"/>
    <n v="2024"/>
    <x v="70"/>
    <s v="C136"/>
    <n v="45"/>
    <s v="Female"/>
    <s v="Kenya"/>
    <x v="1"/>
    <s v="T-shirt"/>
    <n v="1025.67"/>
    <n v="2"/>
    <n v="15"/>
    <s v="Mobile_Money"/>
    <m/>
    <n v="1"/>
    <n v="1743.6389999999999"/>
  </r>
  <r>
    <s v="T1076"/>
    <n v="1076"/>
    <n v="27"/>
    <n v="9"/>
    <n v="2024"/>
    <x v="2"/>
    <s v="C141"/>
    <m/>
    <s v="Male"/>
    <s v=""/>
    <x v="2"/>
    <s v="Laptop"/>
    <n v="808.01"/>
    <n v="2"/>
    <n v="5"/>
    <s v="Card"/>
    <m/>
    <n v="8"/>
    <n v="1535.2190000000001"/>
  </r>
  <r>
    <s v="T1077"/>
    <n v="1077"/>
    <n v="2"/>
    <n v="8"/>
    <n v="2024"/>
    <x v="8"/>
    <s v="C152"/>
    <n v="48"/>
    <s v="Male"/>
    <s v="Nigeria"/>
    <x v="2"/>
    <s v="Fitness Tracker"/>
    <n v="720"/>
    <n v="1"/>
    <n v="0"/>
    <s v="Card"/>
    <m/>
    <n v="4"/>
    <n v="720"/>
  </r>
  <r>
    <s v="T1078"/>
    <n v="1078"/>
    <n v="8"/>
    <n v="9"/>
    <n v="2024"/>
    <x v="71"/>
    <s v="C183"/>
    <n v="36"/>
    <s v="Male"/>
    <s v="Kenya"/>
    <x v="1"/>
    <s v="Headphones"/>
    <n v="1072.92"/>
    <n v="4"/>
    <n v="10"/>
    <s v="Mobile_Money"/>
    <m/>
    <n v="5"/>
    <n v="3862.5120000000002"/>
  </r>
  <r>
    <s v="T1079"/>
    <n v="1079"/>
    <n v="8"/>
    <n v="7"/>
    <n v="2024"/>
    <x v="32"/>
    <s v="C150"/>
    <n v="33"/>
    <s v="Female"/>
    <s v="USA"/>
    <x v="2"/>
    <s v="Blender"/>
    <n v="238.69"/>
    <n v="3"/>
    <n v="10"/>
    <s v="Mobile_Money"/>
    <n v="3"/>
    <n v="8"/>
    <n v="644.46299999999997"/>
  </r>
  <r>
    <s v="T1080"/>
    <n v="1080"/>
    <n v="22"/>
    <n v="10"/>
    <n v="2024"/>
    <x v="72"/>
    <s v="C185"/>
    <n v="22"/>
    <s v="Female"/>
    <s v="USA"/>
    <x v="4"/>
    <s v="Watch"/>
    <n v="113.18"/>
    <n v="4"/>
    <n v="15"/>
    <s v="Mobile_Money"/>
    <n v="2"/>
    <n v="5"/>
    <n v="384.81200000000001"/>
  </r>
  <r>
    <s v="T1081"/>
    <n v="1081"/>
    <n v="31"/>
    <n v="7"/>
    <n v="2024"/>
    <x v="73"/>
    <s v="C100"/>
    <n v="52"/>
    <s v="Male"/>
    <s v="Nigeria"/>
    <x v="0"/>
    <s v="Laptop"/>
    <n v="302.62"/>
    <n v="4"/>
    <n v="10"/>
    <s v="Bank_Transfer"/>
    <n v="3"/>
    <n v="4"/>
    <n v="1089.432"/>
  </r>
  <r>
    <s v="T1082"/>
    <n v="1082"/>
    <n v="26"/>
    <n v="7"/>
    <n v="2024"/>
    <x v="74"/>
    <s v="C166"/>
    <n v="29"/>
    <s v="Female"/>
    <s v="Kenya"/>
    <x v="4"/>
    <s v="Backpack"/>
    <n v="957.6"/>
    <n v="3"/>
    <n v="5"/>
    <s v="Mobile_Money"/>
    <n v="3"/>
    <n v="6"/>
    <n v="2729.16"/>
  </r>
  <r>
    <s v="T1083"/>
    <n v="1083"/>
    <n v="24"/>
    <n v="8"/>
    <n v="2024"/>
    <x v="75"/>
    <s v="C149"/>
    <n v="42"/>
    <s v="Male"/>
    <s v="Kenya"/>
    <x v="4"/>
    <s v="Headphones"/>
    <n v="60.91"/>
    <n v="1"/>
    <n v="0"/>
    <s v="Card"/>
    <n v="4"/>
    <n v="5"/>
    <n v="60.91"/>
  </r>
  <r>
    <s v="T1084"/>
    <n v="1084"/>
    <n v="3"/>
    <n v="12"/>
    <n v="2024"/>
    <x v="76"/>
    <s v="C124"/>
    <m/>
    <s v="Male"/>
    <s v=""/>
    <x v="2"/>
    <s v="Laptop"/>
    <n v="707.71"/>
    <n v="4"/>
    <n v="5"/>
    <s v="Card"/>
    <m/>
    <n v="7"/>
    <n v="2689.2979999999998"/>
  </r>
  <r>
    <s v="T1085"/>
    <n v="1085"/>
    <n v="22"/>
    <n v="2"/>
    <n v="2024"/>
    <x v="50"/>
    <s v="C168"/>
    <n v="53"/>
    <s v="Male"/>
    <s v="USA"/>
    <x v="0"/>
    <s v="Fitness Tracker"/>
    <n v="1194.6199999999999"/>
    <n v="4"/>
    <n v="20"/>
    <s v="PayPal"/>
    <n v="3"/>
    <n v="7"/>
    <n v="3822.7840000000001"/>
  </r>
  <r>
    <s v="T1086"/>
    <n v="1086"/>
    <n v="6"/>
    <n v="10"/>
    <n v="2024"/>
    <x v="77"/>
    <s v="C148"/>
    <n v="40"/>
    <s v="Male"/>
    <s v="Ghana"/>
    <x v="2"/>
    <s v="Smartphone"/>
    <n v="1029.72"/>
    <n v="2"/>
    <n v="15"/>
    <s v="Mobile_Money"/>
    <n v="5"/>
    <n v="4"/>
    <n v="1750.5239999999999"/>
  </r>
  <r>
    <s v="T1087"/>
    <n v="1087"/>
    <n v="4"/>
    <n v="8"/>
    <n v="2024"/>
    <x v="78"/>
    <s v="C148"/>
    <n v="33"/>
    <s v="Female"/>
    <s v="USA"/>
    <x v="3"/>
    <s v="Watch"/>
    <n v="635.30999999999995"/>
    <n v="4"/>
    <n v="10"/>
    <s v="Bank_Transfer"/>
    <n v="5"/>
    <n v="5"/>
    <n v="2287.116"/>
  </r>
  <r>
    <s v="T1088"/>
    <n v="1088"/>
    <n v="8"/>
    <n v="9"/>
    <n v="2024"/>
    <x v="71"/>
    <s v="C162"/>
    <n v="56"/>
    <s v="Female"/>
    <s v="USA"/>
    <x v="2"/>
    <s v="Laptop"/>
    <n v="95.1"/>
    <n v="3"/>
    <n v="20"/>
    <s v="Bank_Transfer"/>
    <m/>
    <n v="3"/>
    <n v="228.24"/>
  </r>
  <r>
    <s v="T1089"/>
    <n v="1089"/>
    <n v="6"/>
    <n v="7"/>
    <n v="2024"/>
    <x v="31"/>
    <s v="C192"/>
    <n v="59"/>
    <s v="Female"/>
    <s v="UK"/>
    <x v="2"/>
    <s v="T-shirt"/>
    <n v="1001.02"/>
    <n v="2"/>
    <n v="10"/>
    <s v="Bank_Transfer"/>
    <n v="4"/>
    <n v="4"/>
    <n v="1801.836"/>
  </r>
  <r>
    <s v="T1090"/>
    <n v="1090"/>
    <n v="10"/>
    <n v="2"/>
    <n v="2024"/>
    <x v="79"/>
    <s v="C124"/>
    <n v="56"/>
    <s v="Male"/>
    <s v="Ghana"/>
    <x v="2"/>
    <s v="Microwave"/>
    <n v="726.79"/>
    <n v="1"/>
    <n v="0"/>
    <s v="PayPal"/>
    <n v="1"/>
    <n v="4"/>
    <n v="726.79"/>
  </r>
  <r>
    <s v="T1091"/>
    <n v="1091"/>
    <n v="5"/>
    <n v="6"/>
    <n v="2024"/>
    <x v="80"/>
    <s v="C106"/>
    <n v="31"/>
    <s v="Male"/>
    <s v="UK"/>
    <x v="0"/>
    <s v="Microwave"/>
    <n v="155.62"/>
    <n v="2"/>
    <n v="0"/>
    <s v="Card"/>
    <n v="1"/>
    <n v="3"/>
    <n v="311.24"/>
  </r>
  <r>
    <s v="T1092"/>
    <n v="1092"/>
    <n v="15"/>
    <n v="1"/>
    <n v="2024"/>
    <x v="81"/>
    <s v="C162"/>
    <n v="48"/>
    <s v="Male"/>
    <s v="Ghana"/>
    <x v="2"/>
    <s v="Watch"/>
    <n v="130.75"/>
    <n v="3"/>
    <n v="0"/>
    <s v="Bank_Transfer"/>
    <m/>
    <n v="5"/>
    <n v="392.25"/>
  </r>
  <r>
    <s v="T1093"/>
    <n v="1093"/>
    <n v="27"/>
    <n v="10"/>
    <n v="2024"/>
    <x v="82"/>
    <s v="C185"/>
    <n v="22"/>
    <s v="Female"/>
    <s v="Nigeria"/>
    <x v="0"/>
    <s v="Fitness Tracker"/>
    <n v="1093.3599999999999"/>
    <n v="3"/>
    <n v="10"/>
    <s v="Card"/>
    <n v="5"/>
    <n v="5"/>
    <n v="2952.0720000000001"/>
  </r>
  <r>
    <s v="T1094"/>
    <n v="1094"/>
    <n v="5"/>
    <n v="3"/>
    <n v="2024"/>
    <x v="83"/>
    <s v="C139"/>
    <n v="52"/>
    <s v="Male"/>
    <s v="Ghana"/>
    <x v="1"/>
    <s v="Microwave"/>
    <n v="809.66"/>
    <n v="2"/>
    <n v="20"/>
    <s v="PayPal"/>
    <n v="2"/>
    <n v="7"/>
    <n v="1295.4559999999999"/>
  </r>
  <r>
    <s v="T1095"/>
    <n v="1095"/>
    <n v="10"/>
    <n v="12"/>
    <n v="2024"/>
    <x v="27"/>
    <s v="C143"/>
    <n v="40"/>
    <s v="Female"/>
    <s v="UK"/>
    <x v="3"/>
    <s v="Laptop"/>
    <n v="998.56"/>
    <n v="1"/>
    <n v="0"/>
    <s v="Mobile_Money"/>
    <n v="4"/>
    <n v="4"/>
    <n v="998.56"/>
  </r>
  <r>
    <s v="T1096"/>
    <n v="1096"/>
    <n v="22"/>
    <n v="11"/>
    <n v="2024"/>
    <x v="84"/>
    <s v="C149"/>
    <n v="46"/>
    <s v="Female"/>
    <s v="USA"/>
    <x v="0"/>
    <s v="Backpack"/>
    <n v="1057.2"/>
    <n v="2"/>
    <n v="20"/>
    <s v="Mobile_Money"/>
    <m/>
    <n v="4"/>
    <n v="1691.52"/>
  </r>
  <r>
    <s v="T1097"/>
    <n v="1097"/>
    <n v="9"/>
    <n v="1"/>
    <n v="2024"/>
    <x v="85"/>
    <s v="C145"/>
    <n v="28"/>
    <s v="Female"/>
    <s v="Ghana"/>
    <x v="1"/>
    <s v="Blender"/>
    <n v="694.69"/>
    <n v="1"/>
    <n v="10"/>
    <s v="Mobile_Money"/>
    <n v="4"/>
    <n v="9"/>
    <n v="625.221"/>
  </r>
  <r>
    <s v="T1098"/>
    <n v="1098"/>
    <n v="9"/>
    <n v="12"/>
    <n v="2024"/>
    <x v="18"/>
    <s v="C194"/>
    <n v="35"/>
    <s v="Female"/>
    <s v="Ghana"/>
    <x v="0"/>
    <s v="Blender"/>
    <n v="630.59"/>
    <n v="2"/>
    <n v="20"/>
    <s v="Bank_Transfer"/>
    <n v="5"/>
    <n v="6"/>
    <n v="1008.944"/>
  </r>
  <r>
    <s v="T1099"/>
    <n v="1099"/>
    <n v="8"/>
    <n v="5"/>
    <n v="2024"/>
    <x v="86"/>
    <s v="C150"/>
    <n v="29"/>
    <s v="Female"/>
    <s v="Kenya"/>
    <x v="0"/>
    <s v="Headphones"/>
    <n v="527.9"/>
    <n v="3"/>
    <n v="10"/>
    <s v="Mobile_Money"/>
    <n v="5"/>
    <n v="4"/>
    <n v="1425.33"/>
  </r>
  <r>
    <s v="T1100"/>
    <n v="1100"/>
    <n v="15"/>
    <n v="5"/>
    <n v="2024"/>
    <x v="87"/>
    <s v="C169"/>
    <n v="26"/>
    <s v="Female"/>
    <s v="USA"/>
    <x v="3"/>
    <s v="Sneakers"/>
    <n v="394"/>
    <n v="4"/>
    <n v="10"/>
    <s v="Bank_Transfer"/>
    <n v="2"/>
    <n v="2"/>
    <n v="1418.4"/>
  </r>
  <r>
    <s v="T1101"/>
    <n v="1101"/>
    <n v="3"/>
    <n v="3"/>
    <n v="2024"/>
    <x v="88"/>
    <s v="C141"/>
    <n v="27"/>
    <s v="Male"/>
    <s v="Nigeria"/>
    <x v="4"/>
    <s v="Smartphone"/>
    <n v="532.82000000000005"/>
    <n v="4"/>
    <n v="15"/>
    <s v="PayPal"/>
    <n v="2"/>
    <n v="6"/>
    <n v="1811.588"/>
  </r>
  <r>
    <s v="T1102"/>
    <n v="1102"/>
    <n v="18"/>
    <n v="5"/>
    <n v="2024"/>
    <x v="89"/>
    <s v="C183"/>
    <n v="34"/>
    <s v="Male"/>
    <s v="UK"/>
    <x v="4"/>
    <s v="Watch"/>
    <n v="933.18"/>
    <n v="1"/>
    <n v="10"/>
    <s v="PayPal"/>
    <n v="1"/>
    <n v="2"/>
    <n v="839.86199999999997"/>
  </r>
  <r>
    <s v="T1103"/>
    <n v="1103"/>
    <n v="21"/>
    <n v="3"/>
    <n v="2024"/>
    <x v="56"/>
    <s v="C172"/>
    <n v="55"/>
    <s v="Female"/>
    <s v="Nigeria"/>
    <x v="0"/>
    <s v="Headphones"/>
    <n v="730.27"/>
    <n v="1"/>
    <n v="10"/>
    <s v="Bank_Transfer"/>
    <n v="4"/>
    <n v="5"/>
    <n v="657.24300000000005"/>
  </r>
  <r>
    <s v="T1104"/>
    <n v="1104"/>
    <n v="11"/>
    <n v="6"/>
    <n v="2024"/>
    <x v="90"/>
    <s v="C195"/>
    <m/>
    <s v="Female"/>
    <s v=""/>
    <x v="2"/>
    <s v="Sneakers"/>
    <n v="1073.18"/>
    <n v="1"/>
    <n v="5"/>
    <s v="Card"/>
    <m/>
    <n v="6"/>
    <n v="1019.521"/>
  </r>
  <r>
    <s v="T1105"/>
    <n v="1105"/>
    <n v="15"/>
    <n v="10"/>
    <n v="2024"/>
    <x v="91"/>
    <s v="C165"/>
    <n v="30"/>
    <s v="Male"/>
    <s v="Ghana"/>
    <x v="1"/>
    <s v="Fitness Tracker"/>
    <n v="543.19000000000005"/>
    <n v="3"/>
    <n v="0"/>
    <s v="Mobile_Money"/>
    <n v="5"/>
    <n v="4"/>
    <n v="1629.57"/>
  </r>
  <r>
    <s v="T1106"/>
    <n v="1106"/>
    <n v="17"/>
    <n v="9"/>
    <n v="2024"/>
    <x v="92"/>
    <s v="C100"/>
    <n v="57"/>
    <s v="Female"/>
    <s v="Ghana"/>
    <x v="2"/>
    <s v="T-shirt"/>
    <n v="736.37"/>
    <n v="2"/>
    <n v="15"/>
    <s v="Mobile_Money"/>
    <n v="1"/>
    <n v="3"/>
    <n v="1251.829"/>
  </r>
  <r>
    <s v="T1107"/>
    <n v="1107"/>
    <n v="18"/>
    <n v="8"/>
    <n v="2024"/>
    <x v="93"/>
    <s v="C181"/>
    <n v="59"/>
    <s v="Female"/>
    <s v="USA"/>
    <x v="2"/>
    <s v="T-shirt"/>
    <n v="764.94"/>
    <n v="3"/>
    <n v="15"/>
    <s v="Mobile_Money"/>
    <m/>
    <n v="7"/>
    <n v="1950.597"/>
  </r>
  <r>
    <s v="T1108"/>
    <n v="1108"/>
    <n v="10"/>
    <n v="2"/>
    <n v="2024"/>
    <x v="79"/>
    <s v="C152"/>
    <n v="26"/>
    <s v="Male"/>
    <s v="Ghana"/>
    <x v="0"/>
    <s v="Smartphone"/>
    <n v="718.2"/>
    <n v="4"/>
    <n v="15"/>
    <s v="Bank_Transfer"/>
    <n v="4"/>
    <n v="2"/>
    <n v="2441.88"/>
  </r>
  <r>
    <s v="T1109"/>
    <n v="1109"/>
    <n v="28"/>
    <n v="1"/>
    <n v="2024"/>
    <x v="94"/>
    <s v="C186"/>
    <n v="44"/>
    <s v="Female"/>
    <s v="Ghana"/>
    <x v="0"/>
    <s v="Microwave"/>
    <n v="849.11"/>
    <n v="1"/>
    <n v="5"/>
    <s v="PayPal"/>
    <n v="1"/>
    <n v="6"/>
    <n v="806.65449999999998"/>
  </r>
  <r>
    <s v="T1110"/>
    <n v="1110"/>
    <n v="14"/>
    <n v="5"/>
    <n v="2024"/>
    <x v="40"/>
    <s v="C149"/>
    <n v="19"/>
    <s v="Female"/>
    <s v="Ghana"/>
    <x v="0"/>
    <s v="Laptop"/>
    <n v="300.17"/>
    <n v="2"/>
    <n v="10"/>
    <s v="Mobile_Money"/>
    <n v="1"/>
    <n v="4"/>
    <n v="540.30600000000004"/>
  </r>
  <r>
    <s v="T1111"/>
    <n v="1111"/>
    <n v="19"/>
    <n v="7"/>
    <n v="2024"/>
    <x v="95"/>
    <s v="C158"/>
    <n v="22"/>
    <s v="Female"/>
    <s v="UK"/>
    <x v="0"/>
    <s v="Headphones"/>
    <n v="624.59"/>
    <n v="4"/>
    <n v="0"/>
    <s v="PayPal"/>
    <n v="5"/>
    <n v="6"/>
    <n v="2498.36"/>
  </r>
  <r>
    <s v="T1112"/>
    <n v="1112"/>
    <n v="23"/>
    <n v="11"/>
    <n v="2024"/>
    <x v="96"/>
    <s v="C115"/>
    <n v="46"/>
    <s v="Male"/>
    <s v="UK"/>
    <x v="4"/>
    <s v="Headphones"/>
    <n v="142.99"/>
    <n v="4"/>
    <n v="20"/>
    <s v="Mobile_Money"/>
    <n v="1"/>
    <n v="4"/>
    <n v="457.56799999999998"/>
  </r>
  <r>
    <s v="T1113"/>
    <n v="1113"/>
    <n v="24"/>
    <n v="9"/>
    <n v="2024"/>
    <x v="97"/>
    <s v="C136"/>
    <n v="54"/>
    <s v="Male"/>
    <s v="Kenya"/>
    <x v="0"/>
    <s v="Watch"/>
    <n v="473.72"/>
    <n v="4"/>
    <n v="10"/>
    <s v="Mobile_Money"/>
    <n v="2"/>
    <n v="4"/>
    <n v="1705.3920000000001"/>
  </r>
  <r>
    <s v="T1114"/>
    <n v="1114"/>
    <n v="2"/>
    <n v="2"/>
    <n v="2024"/>
    <x v="98"/>
    <s v="C127"/>
    <n v="55"/>
    <s v="Male"/>
    <s v="Nigeria"/>
    <x v="4"/>
    <s v="Watch"/>
    <n v="595.45000000000005"/>
    <n v="3"/>
    <n v="5"/>
    <s v="Bank_Transfer"/>
    <n v="2"/>
    <n v="4"/>
    <n v="1697.0325"/>
  </r>
  <r>
    <s v="T1115"/>
    <n v="1115"/>
    <n v="17"/>
    <n v="2"/>
    <n v="2024"/>
    <x v="99"/>
    <s v="C110"/>
    <n v="36"/>
    <s v="Female"/>
    <s v="USA"/>
    <x v="4"/>
    <s v="T-shirt"/>
    <n v="789.62"/>
    <n v="1"/>
    <n v="10"/>
    <s v="Card"/>
    <n v="3"/>
    <n v="9"/>
    <n v="710.65800000000002"/>
  </r>
  <r>
    <s v="T1116"/>
    <n v="1116"/>
    <n v="2"/>
    <n v="3"/>
    <n v="2024"/>
    <x v="100"/>
    <s v="C168"/>
    <n v="25"/>
    <s v="Female"/>
    <s v="USA"/>
    <x v="0"/>
    <s v="T-shirt"/>
    <n v="1141.6300000000001"/>
    <n v="4"/>
    <n v="10"/>
    <s v="Bank_Transfer"/>
    <n v="5"/>
    <n v="7"/>
    <n v="4109.8680000000004"/>
  </r>
  <r>
    <s v="T1117"/>
    <n v="1117"/>
    <n v="3"/>
    <n v="8"/>
    <n v="2024"/>
    <x v="101"/>
    <s v="C179"/>
    <n v="18"/>
    <s v="Male"/>
    <s v="USA"/>
    <x v="3"/>
    <s v="Backpack"/>
    <n v="728.77"/>
    <n v="1"/>
    <n v="5"/>
    <s v="Mobile_Money"/>
    <m/>
    <n v="3"/>
    <n v="692.33150000000001"/>
  </r>
  <r>
    <s v="T1118"/>
    <n v="1118"/>
    <n v="19"/>
    <n v="10"/>
    <n v="2024"/>
    <x v="102"/>
    <s v="C131"/>
    <n v="39"/>
    <s v="Female"/>
    <s v="Kenya"/>
    <x v="1"/>
    <s v="Backpack"/>
    <n v="897.44"/>
    <n v="3"/>
    <n v="15"/>
    <s v="Mobile_Money"/>
    <n v="3"/>
    <n v="3"/>
    <n v="2288.4720000000002"/>
  </r>
  <r>
    <s v="T1119"/>
    <n v="1119"/>
    <n v="8"/>
    <n v="4"/>
    <n v="2024"/>
    <x v="103"/>
    <s v="C108"/>
    <n v="34"/>
    <s v="Female"/>
    <s v="UK"/>
    <x v="2"/>
    <s v="Microwave"/>
    <n v="617.39"/>
    <n v="4"/>
    <n v="15"/>
    <s v="Card"/>
    <n v="2"/>
    <n v="6"/>
    <n v="2099.1260000000002"/>
  </r>
  <r>
    <s v="T1120"/>
    <n v="1120"/>
    <n v="20"/>
    <n v="6"/>
    <n v="2024"/>
    <x v="104"/>
    <s v="C132"/>
    <n v="24"/>
    <s v="Female"/>
    <s v="Kenya"/>
    <x v="4"/>
    <s v="Backpack"/>
    <n v="768.24"/>
    <n v="3"/>
    <n v="0"/>
    <s v="PayPal"/>
    <n v="3"/>
    <n v="6"/>
    <n v="2304.7199999999998"/>
  </r>
  <r>
    <s v="T1121"/>
    <n v="1121"/>
    <n v="25"/>
    <n v="12"/>
    <n v="2024"/>
    <x v="12"/>
    <s v="C176"/>
    <n v="42"/>
    <s v="Female"/>
    <s v="USA"/>
    <x v="1"/>
    <s v="Laptop"/>
    <n v="103.7"/>
    <n v="3"/>
    <n v="0"/>
    <s v="PayPal"/>
    <n v="5"/>
    <n v="4"/>
    <n v="311.10000000000002"/>
  </r>
  <r>
    <s v="T1122"/>
    <n v="1122"/>
    <n v="1"/>
    <n v="8"/>
    <n v="2024"/>
    <x v="105"/>
    <s v="C174"/>
    <n v="21"/>
    <s v="Female"/>
    <s v="Nigeria"/>
    <x v="3"/>
    <s v="Laptop"/>
    <n v="320.18"/>
    <n v="1"/>
    <n v="15"/>
    <s v="Mobile_Money"/>
    <n v="5"/>
    <n v="9"/>
    <n v="272.15300000000002"/>
  </r>
  <r>
    <s v="T1123"/>
    <n v="1123"/>
    <n v="4"/>
    <n v="2"/>
    <n v="2024"/>
    <x v="54"/>
    <s v="C135"/>
    <n v="53"/>
    <s v="Male"/>
    <s v="Ghana"/>
    <x v="2"/>
    <s v="Headphones"/>
    <n v="446.99"/>
    <n v="4"/>
    <n v="20"/>
    <s v="PayPal"/>
    <n v="1"/>
    <n v="4"/>
    <n v="1430.3679999999999"/>
  </r>
  <r>
    <s v="T1124"/>
    <n v="1124"/>
    <n v="14"/>
    <n v="8"/>
    <n v="2024"/>
    <x v="106"/>
    <s v="C132"/>
    <m/>
    <s v="Female"/>
    <s v=""/>
    <x v="2"/>
    <s v="Blender"/>
    <n v="577.54"/>
    <n v="3"/>
    <n v="10"/>
    <s v="Mobile_Money"/>
    <m/>
    <n v="9"/>
    <n v="1559.3579999999999"/>
  </r>
  <r>
    <s v="T1125"/>
    <n v="1125"/>
    <n v="10"/>
    <n v="4"/>
    <n v="2024"/>
    <x v="107"/>
    <s v="C152"/>
    <n v="48"/>
    <s v="Male"/>
    <s v="UK"/>
    <x v="4"/>
    <s v="Laptop"/>
    <n v="73.87"/>
    <n v="4"/>
    <n v="20"/>
    <s v="Card"/>
    <n v="1"/>
    <n v="4"/>
    <n v="236.38399999999999"/>
  </r>
  <r>
    <s v="T1126"/>
    <n v="1126"/>
    <n v="10"/>
    <n v="5"/>
    <n v="2024"/>
    <x v="14"/>
    <s v="C123"/>
    <n v="36"/>
    <s v="Female"/>
    <s v="Kenya"/>
    <x v="0"/>
    <s v="Sneakers"/>
    <n v="185.23"/>
    <n v="1"/>
    <n v="10"/>
    <s v="Card"/>
    <n v="5"/>
    <n v="2"/>
    <n v="166.70699999999999"/>
  </r>
  <r>
    <s v="T1127"/>
    <n v="1127"/>
    <n v="13"/>
    <n v="9"/>
    <n v="2024"/>
    <x v="108"/>
    <s v="C115"/>
    <n v="56"/>
    <s v="Male"/>
    <s v="UK"/>
    <x v="3"/>
    <s v="T-shirt"/>
    <n v="346.64"/>
    <n v="3"/>
    <n v="15"/>
    <s v="Mobile_Money"/>
    <n v="2"/>
    <n v="2"/>
    <n v="883.93200000000002"/>
  </r>
  <r>
    <s v="T1128"/>
    <n v="1128"/>
    <n v="5"/>
    <n v="1"/>
    <n v="2024"/>
    <x v="109"/>
    <s v="C156"/>
    <n v="44"/>
    <s v="Female"/>
    <s v="USA"/>
    <x v="4"/>
    <s v="Watch"/>
    <n v="1166.4100000000001"/>
    <n v="1"/>
    <n v="0"/>
    <s v="Card"/>
    <m/>
    <n v="5"/>
    <n v="1166.4100000000001"/>
  </r>
  <r>
    <s v="T1129"/>
    <n v="1129"/>
    <n v="5"/>
    <n v="8"/>
    <n v="2024"/>
    <x v="64"/>
    <s v="C108"/>
    <n v="27"/>
    <s v="Male"/>
    <s v="USA"/>
    <x v="3"/>
    <s v="Backpack"/>
    <n v="410.99"/>
    <n v="4"/>
    <n v="0"/>
    <s v="Bank_Transfer"/>
    <n v="2"/>
    <n v="4"/>
    <n v="1643.96"/>
  </r>
  <r>
    <s v="T1130"/>
    <n v="1130"/>
    <n v="11"/>
    <n v="9"/>
    <n v="2024"/>
    <x v="110"/>
    <s v="C184"/>
    <n v="43"/>
    <s v="Female"/>
    <s v="Kenya"/>
    <x v="0"/>
    <s v="Headphones"/>
    <n v="588.80999999999995"/>
    <n v="4"/>
    <n v="20"/>
    <s v="Bank_Transfer"/>
    <n v="1"/>
    <n v="7"/>
    <n v="1884.192"/>
  </r>
  <r>
    <s v="T1131"/>
    <n v="1131"/>
    <n v="24"/>
    <n v="12"/>
    <n v="2024"/>
    <x v="111"/>
    <s v="C176"/>
    <n v="36"/>
    <s v="Male"/>
    <s v="USA"/>
    <x v="0"/>
    <s v="Smartphone"/>
    <n v="251.4"/>
    <n v="1"/>
    <n v="0"/>
    <s v="Card"/>
    <m/>
    <n v="5"/>
    <n v="251.4"/>
  </r>
  <r>
    <s v="T1132"/>
    <n v="1132"/>
    <n v="9"/>
    <n v="10"/>
    <n v="2024"/>
    <x v="112"/>
    <s v="C122"/>
    <n v="56"/>
    <s v="Female"/>
    <s v="Nigeria"/>
    <x v="4"/>
    <s v="Watch"/>
    <n v="740.72"/>
    <n v="2"/>
    <n v="15"/>
    <s v="Mobile_Money"/>
    <n v="5"/>
    <n v="6"/>
    <n v="1259.2239999999999"/>
  </r>
  <r>
    <s v="T1133"/>
    <n v="1133"/>
    <n v="25"/>
    <n v="7"/>
    <n v="2024"/>
    <x v="113"/>
    <s v="C182"/>
    <n v="20"/>
    <s v="Male"/>
    <s v="Kenya"/>
    <x v="0"/>
    <s v="Sneakers"/>
    <n v="351.21"/>
    <n v="3"/>
    <n v="20"/>
    <s v="Mobile_Money"/>
    <n v="2"/>
    <n v="4"/>
    <n v="842.904"/>
  </r>
  <r>
    <s v="T1134"/>
    <n v="1134"/>
    <n v="15"/>
    <n v="1"/>
    <n v="2024"/>
    <x v="81"/>
    <s v="C136"/>
    <n v="30"/>
    <s v="Female"/>
    <s v="Nigeria"/>
    <x v="1"/>
    <s v="Backpack"/>
    <n v="264.25"/>
    <n v="4"/>
    <n v="10"/>
    <s v="Card"/>
    <n v="5"/>
    <n v="2"/>
    <n v="951.3"/>
  </r>
  <r>
    <s v="T1135"/>
    <n v="1135"/>
    <n v="11"/>
    <n v="12"/>
    <n v="2024"/>
    <x v="49"/>
    <s v="C114"/>
    <n v="45"/>
    <s v="Male"/>
    <s v="Ghana"/>
    <x v="2"/>
    <s v="Sneakers"/>
    <n v="629.55999999999995"/>
    <n v="4"/>
    <n v="0"/>
    <s v="PayPal"/>
    <m/>
    <n v="9"/>
    <n v="2518.2399999999998"/>
  </r>
  <r>
    <s v="T1136"/>
    <n v="1136"/>
    <n v="11"/>
    <n v="2"/>
    <n v="2024"/>
    <x v="114"/>
    <s v="C119"/>
    <n v="37"/>
    <s v="Male"/>
    <s v="Nigeria"/>
    <x v="4"/>
    <s v="T-shirt"/>
    <n v="26.5"/>
    <n v="3"/>
    <n v="5"/>
    <s v="Bank_Transfer"/>
    <m/>
    <n v="7"/>
    <n v="75.525000000000006"/>
  </r>
  <r>
    <s v="T1137"/>
    <n v="1137"/>
    <n v="27"/>
    <n v="6"/>
    <n v="2024"/>
    <x v="115"/>
    <s v="C197"/>
    <n v="45"/>
    <s v="Female"/>
    <s v="Ghana"/>
    <x v="3"/>
    <s v="T-shirt"/>
    <n v="29.04"/>
    <n v="1"/>
    <n v="0"/>
    <s v="PayPal"/>
    <n v="2"/>
    <n v="4"/>
    <n v="29.04"/>
  </r>
  <r>
    <s v="T1138"/>
    <n v="1138"/>
    <n v="3"/>
    <n v="3"/>
    <n v="2024"/>
    <x v="88"/>
    <s v="C185"/>
    <n v="25"/>
    <s v="Female"/>
    <s v="Ghana"/>
    <x v="1"/>
    <s v="Microwave"/>
    <n v="278.5"/>
    <n v="1"/>
    <n v="10"/>
    <s v="Mobile_Money"/>
    <n v="5"/>
    <n v="3"/>
    <n v="250.65"/>
  </r>
  <r>
    <s v="T1139"/>
    <n v="1139"/>
    <n v="17"/>
    <n v="12"/>
    <n v="2024"/>
    <x v="116"/>
    <s v="C176"/>
    <n v="58"/>
    <s v="Male"/>
    <s v="Nigeria"/>
    <x v="4"/>
    <s v="Headphones"/>
    <n v="63.33"/>
    <n v="1"/>
    <n v="20"/>
    <s v="Mobile_Money"/>
    <n v="3"/>
    <n v="3"/>
    <n v="50.664000000000001"/>
  </r>
  <r>
    <s v="T1140"/>
    <n v="1140"/>
    <n v="18"/>
    <n v="8"/>
    <n v="2024"/>
    <x v="93"/>
    <s v="C115"/>
    <n v="56"/>
    <s v="Female"/>
    <s v="Kenya"/>
    <x v="0"/>
    <s v="Watch"/>
    <n v="147.47"/>
    <n v="2"/>
    <n v="10"/>
    <s v="PayPal"/>
    <n v="5"/>
    <n v="9"/>
    <n v="265.44600000000003"/>
  </r>
  <r>
    <s v="T1141"/>
    <n v="1141"/>
    <n v="28"/>
    <n v="8"/>
    <n v="2024"/>
    <x v="117"/>
    <s v="C110"/>
    <n v="18"/>
    <s v="Male"/>
    <s v="USA"/>
    <x v="0"/>
    <s v="Fitness Tracker"/>
    <n v="419.86"/>
    <n v="2"/>
    <n v="5"/>
    <s v="Card"/>
    <m/>
    <n v="5"/>
    <n v="797.73400000000004"/>
  </r>
  <r>
    <s v="T1142"/>
    <n v="1142"/>
    <n v="21"/>
    <n v="2"/>
    <n v="2024"/>
    <x v="118"/>
    <s v="C183"/>
    <n v="20"/>
    <s v="Male"/>
    <s v="USA"/>
    <x v="0"/>
    <s v="Fitness Tracker"/>
    <n v="967.05"/>
    <n v="4"/>
    <n v="15"/>
    <s v="PayPal"/>
    <n v="5"/>
    <n v="3"/>
    <n v="3287.97"/>
  </r>
  <r>
    <s v="T1143"/>
    <n v="1143"/>
    <n v="5"/>
    <n v="4"/>
    <n v="2024"/>
    <x v="119"/>
    <s v="C120"/>
    <n v="30"/>
    <s v="Male"/>
    <s v="Ghana"/>
    <x v="0"/>
    <s v="Watch"/>
    <n v="695.02"/>
    <n v="1"/>
    <n v="0"/>
    <s v="PayPal"/>
    <n v="1"/>
    <n v="5"/>
    <n v="695.02"/>
  </r>
  <r>
    <s v="T1144"/>
    <n v="1144"/>
    <n v="9"/>
    <n v="8"/>
    <n v="2024"/>
    <x v="120"/>
    <s v="C181"/>
    <n v="45"/>
    <s v="Female"/>
    <s v="Ghana"/>
    <x v="3"/>
    <s v="Smartphone"/>
    <n v="624.95000000000005"/>
    <n v="3"/>
    <n v="20"/>
    <s v="Bank_Transfer"/>
    <n v="3"/>
    <n v="2"/>
    <n v="1499.88"/>
  </r>
  <r>
    <s v="T1145"/>
    <n v="1145"/>
    <n v="18"/>
    <n v="8"/>
    <n v="2024"/>
    <x v="93"/>
    <s v="C199"/>
    <n v="42"/>
    <s v="Male"/>
    <s v="Kenya"/>
    <x v="1"/>
    <s v="Headphones"/>
    <n v="366.32"/>
    <n v="4"/>
    <n v="15"/>
    <s v="Bank_Transfer"/>
    <n v="4"/>
    <n v="4"/>
    <n v="1245.4880000000001"/>
  </r>
  <r>
    <s v="T1146"/>
    <n v="1146"/>
    <n v="24"/>
    <n v="8"/>
    <n v="2024"/>
    <x v="75"/>
    <s v="C188"/>
    <n v="50"/>
    <s v="Male"/>
    <s v="UK"/>
    <x v="2"/>
    <s v="Sneakers"/>
    <n v="1119.47"/>
    <n v="3"/>
    <n v="10"/>
    <s v="PayPal"/>
    <n v="1"/>
    <n v="2"/>
    <n v="3022.569"/>
  </r>
  <r>
    <s v="T1147"/>
    <n v="1147"/>
    <n v="22"/>
    <n v="5"/>
    <n v="2024"/>
    <x v="121"/>
    <s v="C105"/>
    <n v="55"/>
    <s v="Female"/>
    <s v="Nigeria"/>
    <x v="3"/>
    <s v="Smartphone"/>
    <n v="488.48"/>
    <n v="4"/>
    <n v="20"/>
    <s v="PayPal"/>
    <n v="4"/>
    <n v="2"/>
    <n v="1563.136"/>
  </r>
  <r>
    <s v="T1148"/>
    <n v="1148"/>
    <n v="19"/>
    <n v="6"/>
    <n v="2024"/>
    <x v="122"/>
    <s v="C187"/>
    <n v="23"/>
    <s v="Female"/>
    <s v="Ghana"/>
    <x v="3"/>
    <s v="Blender"/>
    <n v="122.77"/>
    <n v="2"/>
    <n v="15"/>
    <s v="Mobile_Money"/>
    <n v="2"/>
    <n v="8"/>
    <n v="208.709"/>
  </r>
  <r>
    <s v="T1149"/>
    <n v="1149"/>
    <n v="29"/>
    <n v="1"/>
    <n v="2024"/>
    <x v="123"/>
    <s v="C187"/>
    <n v="49"/>
    <s v="Female"/>
    <s v="USA"/>
    <x v="2"/>
    <s v="Watch"/>
    <n v="748.14"/>
    <n v="4"/>
    <n v="20"/>
    <s v="Bank_Transfer"/>
    <n v="4"/>
    <n v="1"/>
    <n v="2394.0479999999998"/>
  </r>
  <r>
    <s v="T1150"/>
    <n v="1150"/>
    <n v="5"/>
    <n v="2"/>
    <n v="2024"/>
    <x v="124"/>
    <s v="C189"/>
    <n v="38"/>
    <s v="Female"/>
    <s v="Kenya"/>
    <x v="2"/>
    <s v="Sneakers"/>
    <n v="154.33000000000001"/>
    <n v="2"/>
    <n v="5"/>
    <s v="Bank_Transfer"/>
    <n v="5"/>
    <n v="7"/>
    <n v="293.22699999999998"/>
  </r>
  <r>
    <s v="T1151"/>
    <n v="1151"/>
    <n v="13"/>
    <n v="1"/>
    <n v="2024"/>
    <x v="125"/>
    <s v="C141"/>
    <n v="33"/>
    <s v="Male"/>
    <s v="Nigeria"/>
    <x v="0"/>
    <s v="Fitness Tracker"/>
    <n v="427.36"/>
    <n v="4"/>
    <n v="5"/>
    <s v="Mobile_Money"/>
    <n v="4"/>
    <n v="5"/>
    <n v="1623.9680000000001"/>
  </r>
  <r>
    <s v="T1152"/>
    <n v="1152"/>
    <n v="8"/>
    <n v="6"/>
    <n v="2024"/>
    <x v="126"/>
    <s v="C168"/>
    <n v="38"/>
    <s v="Male"/>
    <s v="Kenya"/>
    <x v="3"/>
    <s v="Laptop"/>
    <n v="618.75"/>
    <n v="1"/>
    <n v="0"/>
    <s v="Card"/>
    <m/>
    <n v="8"/>
    <n v="618.75"/>
  </r>
  <r>
    <s v="T1153"/>
    <n v="1153"/>
    <n v="22"/>
    <n v="11"/>
    <n v="2024"/>
    <x v="84"/>
    <s v="C108"/>
    <n v="28"/>
    <s v="Male"/>
    <s v="Nigeria"/>
    <x v="4"/>
    <s v="Microwave"/>
    <n v="1051.58"/>
    <n v="3"/>
    <n v="0"/>
    <s v="Bank_Transfer"/>
    <n v="1"/>
    <n v="1"/>
    <n v="3154.74"/>
  </r>
  <r>
    <s v="T1154"/>
    <n v="1154"/>
    <n v="5"/>
    <n v="7"/>
    <n v="2024"/>
    <x v="127"/>
    <s v="C114"/>
    <n v="54"/>
    <s v="Male"/>
    <s v="Nigeria"/>
    <x v="2"/>
    <s v="Fitness Tracker"/>
    <n v="602.38"/>
    <n v="1"/>
    <n v="5"/>
    <s v="Bank_Transfer"/>
    <n v="1"/>
    <n v="7"/>
    <n v="572.26099999999997"/>
  </r>
  <r>
    <s v="T1155"/>
    <n v="1155"/>
    <n v="30"/>
    <n v="8"/>
    <n v="2024"/>
    <x v="128"/>
    <s v="C133"/>
    <m/>
    <s v="Female"/>
    <s v=""/>
    <x v="2"/>
    <s v="Headphones"/>
    <n v="848.67"/>
    <n v="4"/>
    <n v="20"/>
    <s v="Card"/>
    <m/>
    <n v="5"/>
    <n v="2715.7440000000001"/>
  </r>
  <r>
    <s v="T1156"/>
    <n v="1156"/>
    <n v="26"/>
    <n v="3"/>
    <n v="2024"/>
    <x v="129"/>
    <s v="C132"/>
    <n v="52"/>
    <s v="Male"/>
    <s v="Kenya"/>
    <x v="1"/>
    <s v="T-shirt"/>
    <n v="1191.52"/>
    <n v="4"/>
    <n v="5"/>
    <s v="Bank_Transfer"/>
    <n v="1"/>
    <n v="4"/>
    <n v="4527.7759999999998"/>
  </r>
  <r>
    <s v="T1157"/>
    <n v="1157"/>
    <n v="10"/>
    <n v="10"/>
    <n v="2024"/>
    <x v="130"/>
    <s v="C138"/>
    <n v="36"/>
    <s v="Male"/>
    <s v="Kenya"/>
    <x v="4"/>
    <s v="Laptop"/>
    <n v="175.16"/>
    <n v="4"/>
    <n v="0"/>
    <s v="Bank_Transfer"/>
    <m/>
    <n v="7"/>
    <n v="700.64"/>
  </r>
  <r>
    <s v="T1158"/>
    <n v="1158"/>
    <n v="6"/>
    <n v="3"/>
    <n v="2024"/>
    <x v="131"/>
    <s v="C119"/>
    <n v="37"/>
    <s v="Female"/>
    <s v="USA"/>
    <x v="4"/>
    <s v="Microwave"/>
    <n v="344.18"/>
    <n v="2"/>
    <n v="5"/>
    <s v="Card"/>
    <n v="1"/>
    <n v="2"/>
    <n v="653.94200000000001"/>
  </r>
  <r>
    <s v="T1159"/>
    <n v="1159"/>
    <n v="18"/>
    <n v="6"/>
    <n v="2024"/>
    <x v="30"/>
    <s v="C147"/>
    <n v="35"/>
    <s v="Male"/>
    <s v="USA"/>
    <x v="2"/>
    <s v="Microwave"/>
    <n v="485.6"/>
    <n v="3"/>
    <n v="5"/>
    <s v="Card"/>
    <n v="4"/>
    <n v="1"/>
    <n v="1383.96"/>
  </r>
  <r>
    <s v="T1160"/>
    <n v="1160"/>
    <n v="14"/>
    <n v="2"/>
    <n v="2024"/>
    <x v="132"/>
    <s v="C153"/>
    <n v="58"/>
    <s v="Male"/>
    <s v="Ghana"/>
    <x v="0"/>
    <s v="Blender"/>
    <n v="517.76"/>
    <n v="3"/>
    <n v="20"/>
    <s v="PayPal"/>
    <n v="3"/>
    <n v="1"/>
    <n v="1242.624"/>
  </r>
  <r>
    <s v="T1161"/>
    <n v="1161"/>
    <n v="2"/>
    <n v="3"/>
    <n v="2024"/>
    <x v="100"/>
    <s v="C188"/>
    <n v="31"/>
    <s v="Male"/>
    <s v="Ghana"/>
    <x v="1"/>
    <s v="Blender"/>
    <n v="505"/>
    <n v="4"/>
    <n v="15"/>
    <s v="Mobile_Money"/>
    <n v="3"/>
    <n v="1"/>
    <n v="1717"/>
  </r>
  <r>
    <s v="T1162"/>
    <n v="1162"/>
    <n v="13"/>
    <n v="5"/>
    <n v="2024"/>
    <x v="133"/>
    <s v="C193"/>
    <n v="32"/>
    <s v="Male"/>
    <s v="UK"/>
    <x v="4"/>
    <s v="Backpack"/>
    <n v="1090.98"/>
    <n v="4"/>
    <n v="0"/>
    <s v="Mobile_Money"/>
    <n v="2"/>
    <n v="5"/>
    <n v="4363.92"/>
  </r>
  <r>
    <s v="T1163"/>
    <n v="1163"/>
    <n v="10"/>
    <n v="10"/>
    <n v="2024"/>
    <x v="130"/>
    <s v="C116"/>
    <n v="48"/>
    <s v="Male"/>
    <s v="USA"/>
    <x v="2"/>
    <s v="Fitness Tracker"/>
    <n v="862.56"/>
    <n v="2"/>
    <n v="20"/>
    <s v="Card"/>
    <n v="1"/>
    <n v="7"/>
    <n v="1380.096"/>
  </r>
  <r>
    <s v="T1164"/>
    <n v="1164"/>
    <n v="28"/>
    <n v="1"/>
    <n v="2024"/>
    <x v="94"/>
    <s v="C191"/>
    <n v="18"/>
    <s v="Male"/>
    <s v="Nigeria"/>
    <x v="4"/>
    <s v="Fitness Tracker"/>
    <n v="737.33"/>
    <n v="1"/>
    <n v="5"/>
    <s v="Card"/>
    <n v="4"/>
    <n v="2"/>
    <n v="700.46349999999995"/>
  </r>
  <r>
    <s v="T1165"/>
    <n v="1165"/>
    <n v="17"/>
    <n v="4"/>
    <n v="2024"/>
    <x v="134"/>
    <s v="C117"/>
    <n v="20"/>
    <s v="Female"/>
    <s v="Kenya"/>
    <x v="1"/>
    <s v="Fitness Tracker"/>
    <n v="385.06"/>
    <n v="1"/>
    <n v="5"/>
    <s v="Bank_Transfer"/>
    <n v="1"/>
    <n v="8"/>
    <n v="365.80700000000002"/>
  </r>
  <r>
    <s v="T1166"/>
    <n v="1166"/>
    <n v="13"/>
    <n v="2"/>
    <n v="2024"/>
    <x v="65"/>
    <s v="C167"/>
    <n v="33"/>
    <s v="Female"/>
    <s v="Ghana"/>
    <x v="1"/>
    <s v="Backpack"/>
    <n v="992.07"/>
    <n v="3"/>
    <n v="15"/>
    <s v="PayPal"/>
    <n v="5"/>
    <n v="4"/>
    <n v="2529.7784999999999"/>
  </r>
  <r>
    <s v="T1167"/>
    <n v="1167"/>
    <n v="5"/>
    <n v="12"/>
    <n v="2024"/>
    <x v="51"/>
    <s v="C127"/>
    <n v="40"/>
    <s v="Male"/>
    <s v="Kenya"/>
    <x v="3"/>
    <s v="Smartphone"/>
    <n v="1146.97"/>
    <n v="2"/>
    <n v="0"/>
    <s v="PayPal"/>
    <m/>
    <n v="3"/>
    <n v="2293.94"/>
  </r>
  <r>
    <s v="T1168"/>
    <n v="1168"/>
    <n v="12"/>
    <n v="10"/>
    <n v="2024"/>
    <x v="135"/>
    <s v="C197"/>
    <n v="28"/>
    <s v="Male"/>
    <s v="Kenya"/>
    <x v="2"/>
    <s v="Microwave"/>
    <n v="989.01"/>
    <n v="4"/>
    <n v="0"/>
    <s v="Card"/>
    <n v="1"/>
    <n v="8"/>
    <n v="3956.04"/>
  </r>
  <r>
    <s v="T1169"/>
    <n v="1169"/>
    <n v="26"/>
    <n v="11"/>
    <n v="2024"/>
    <x v="9"/>
    <s v="C192"/>
    <n v="29"/>
    <s v="Female"/>
    <s v="UK"/>
    <x v="1"/>
    <s v="Laptop"/>
    <n v="21.85"/>
    <n v="3"/>
    <n v="10"/>
    <s v="Bank_Transfer"/>
    <n v="1"/>
    <n v="2"/>
    <n v="58.994999999999997"/>
  </r>
  <r>
    <s v="T1170"/>
    <n v="1170"/>
    <n v="7"/>
    <n v="5"/>
    <n v="2024"/>
    <x v="136"/>
    <s v="C190"/>
    <n v="27"/>
    <s v="Male"/>
    <s v="USA"/>
    <x v="3"/>
    <s v="Headphones"/>
    <n v="770.95"/>
    <n v="2"/>
    <n v="0"/>
    <s v="Bank_Transfer"/>
    <n v="3"/>
    <n v="3"/>
    <n v="1541.9"/>
  </r>
  <r>
    <s v="T1171"/>
    <n v="1171"/>
    <n v="13"/>
    <n v="12"/>
    <n v="2024"/>
    <x v="137"/>
    <s v="C151"/>
    <n v="49"/>
    <s v="Male"/>
    <s v="Ghana"/>
    <x v="3"/>
    <s v="Microwave"/>
    <n v="80.34"/>
    <n v="1"/>
    <n v="15"/>
    <s v="Mobile_Money"/>
    <m/>
    <n v="3"/>
    <n v="68.289000000000001"/>
  </r>
  <r>
    <s v="T1172"/>
    <n v="1172"/>
    <n v="18"/>
    <n v="8"/>
    <n v="2024"/>
    <x v="93"/>
    <s v="C155"/>
    <n v="33"/>
    <s v="Male"/>
    <s v="Kenya"/>
    <x v="4"/>
    <s v="Blender"/>
    <n v="323.98"/>
    <n v="2"/>
    <n v="10"/>
    <s v="Mobile_Money"/>
    <n v="4"/>
    <n v="1"/>
    <n v="583.16399999999999"/>
  </r>
  <r>
    <s v="T1173"/>
    <n v="1173"/>
    <n v="8"/>
    <n v="7"/>
    <n v="2024"/>
    <x v="32"/>
    <s v="C111"/>
    <n v="25"/>
    <s v="Female"/>
    <s v="Ghana"/>
    <x v="4"/>
    <s v="Sneakers"/>
    <n v="90.24"/>
    <n v="1"/>
    <n v="10"/>
    <s v="Bank_Transfer"/>
    <n v="1"/>
    <n v="6"/>
    <n v="81.215999999999994"/>
  </r>
  <r>
    <s v="T1174"/>
    <n v="1174"/>
    <n v="12"/>
    <n v="8"/>
    <n v="2024"/>
    <x v="138"/>
    <s v="C132"/>
    <n v="55"/>
    <s v="Male"/>
    <s v="Nigeria"/>
    <x v="3"/>
    <s v="T-shirt"/>
    <n v="732.48"/>
    <n v="2"/>
    <n v="5"/>
    <s v="Mobile_Money"/>
    <n v="3"/>
    <n v="2"/>
    <n v="1391.712"/>
  </r>
  <r>
    <s v="T1175"/>
    <n v="1175"/>
    <n v="9"/>
    <n v="10"/>
    <n v="2024"/>
    <x v="112"/>
    <s v="C124"/>
    <n v="29"/>
    <s v="Female"/>
    <s v="UK"/>
    <x v="4"/>
    <s v="Backpack"/>
    <n v="830.18"/>
    <n v="3"/>
    <n v="5"/>
    <s v="Card"/>
    <n v="2"/>
    <n v="1"/>
    <n v="2366.0129999999999"/>
  </r>
  <r>
    <s v="T1176"/>
    <n v="1176"/>
    <n v="30"/>
    <n v="4"/>
    <n v="2024"/>
    <x v="139"/>
    <s v="C153"/>
    <n v="41"/>
    <s v="Male"/>
    <s v="Nigeria"/>
    <x v="1"/>
    <s v="Watch"/>
    <n v="155.1"/>
    <n v="1"/>
    <n v="0"/>
    <s v="Bank_Transfer"/>
    <m/>
    <n v="2"/>
    <n v="155.1"/>
  </r>
  <r>
    <s v="T1177"/>
    <n v="1177"/>
    <n v="25"/>
    <n v="4"/>
    <n v="2024"/>
    <x v="140"/>
    <s v="C152"/>
    <n v="45"/>
    <s v="Female"/>
    <s v="Ghana"/>
    <x v="0"/>
    <s v="Sneakers"/>
    <n v="472.93"/>
    <n v="3"/>
    <n v="10"/>
    <s v="Mobile_Money"/>
    <n v="3"/>
    <n v="6"/>
    <n v="1276.9110000000001"/>
  </r>
  <r>
    <s v="T1178"/>
    <n v="1178"/>
    <n v="20"/>
    <n v="8"/>
    <n v="2024"/>
    <x v="141"/>
    <s v="C182"/>
    <n v="25"/>
    <s v="Female"/>
    <s v="Ghana"/>
    <x v="1"/>
    <s v="Headphones"/>
    <n v="558.36"/>
    <n v="3"/>
    <n v="5"/>
    <s v="PayPal"/>
    <n v="3"/>
    <n v="4"/>
    <n v="1591.326"/>
  </r>
  <r>
    <s v="T1179"/>
    <n v="1179"/>
    <n v="15"/>
    <n v="9"/>
    <n v="2024"/>
    <x v="142"/>
    <s v="C163"/>
    <n v="45"/>
    <s v="Male"/>
    <s v="USA"/>
    <x v="3"/>
    <s v="Fitness Tracker"/>
    <n v="455.48"/>
    <n v="1"/>
    <n v="15"/>
    <s v="Bank_Transfer"/>
    <n v="3"/>
    <n v="6"/>
    <n v="387.15800000000002"/>
  </r>
  <r>
    <s v="T1180"/>
    <n v="1180"/>
    <n v="24"/>
    <n v="12"/>
    <n v="2024"/>
    <x v="111"/>
    <s v="C170"/>
    <n v="53"/>
    <s v="Female"/>
    <s v="Kenya"/>
    <x v="3"/>
    <s v="Blender"/>
    <n v="162.81"/>
    <n v="1"/>
    <n v="5"/>
    <s v="Bank_Transfer"/>
    <n v="1"/>
    <n v="9"/>
    <n v="154.6695"/>
  </r>
  <r>
    <s v="T1181"/>
    <n v="1181"/>
    <n v="16"/>
    <n v="7"/>
    <n v="2024"/>
    <x v="143"/>
    <s v="C130"/>
    <n v="43"/>
    <s v="Male"/>
    <s v="Kenya"/>
    <x v="1"/>
    <s v="Blender"/>
    <n v="514.36"/>
    <n v="4"/>
    <n v="5"/>
    <s v="PayPal"/>
    <n v="1"/>
    <n v="8"/>
    <n v="1954.568"/>
  </r>
  <r>
    <s v="T1182"/>
    <n v="1182"/>
    <n v="16"/>
    <n v="5"/>
    <n v="2024"/>
    <x v="144"/>
    <s v="C176"/>
    <n v="25"/>
    <s v="Female"/>
    <s v="Nigeria"/>
    <x v="4"/>
    <s v="Blender"/>
    <n v="906.39"/>
    <n v="4"/>
    <n v="10"/>
    <s v="Card"/>
    <n v="2"/>
    <n v="1"/>
    <n v="3263.0039999999999"/>
  </r>
  <r>
    <s v="T1183"/>
    <n v="1183"/>
    <n v="13"/>
    <n v="11"/>
    <n v="2024"/>
    <x v="145"/>
    <s v="C140"/>
    <n v="45"/>
    <s v="Male"/>
    <s v="UK"/>
    <x v="4"/>
    <s v="Fitness Tracker"/>
    <n v="103.79"/>
    <n v="4"/>
    <n v="10"/>
    <s v="PayPal"/>
    <n v="5"/>
    <n v="8"/>
    <n v="373.64400000000001"/>
  </r>
  <r>
    <s v="T1184"/>
    <n v="1184"/>
    <n v="13"/>
    <n v="6"/>
    <n v="2024"/>
    <x v="146"/>
    <s v="C197"/>
    <n v="45"/>
    <s v="Male"/>
    <s v="Kenya"/>
    <x v="3"/>
    <s v="Watch"/>
    <n v="114.61"/>
    <n v="3"/>
    <n v="20"/>
    <s v="Bank_Transfer"/>
    <n v="5"/>
    <n v="9"/>
    <n v="275.06400000000002"/>
  </r>
  <r>
    <s v="T1185"/>
    <n v="1185"/>
    <n v="12"/>
    <n v="8"/>
    <n v="2024"/>
    <x v="138"/>
    <s v="C196"/>
    <n v="54"/>
    <s v="Female"/>
    <s v="USA"/>
    <x v="2"/>
    <s v="Backpack"/>
    <n v="438.63"/>
    <n v="3"/>
    <n v="15"/>
    <s v="Card"/>
    <n v="5"/>
    <n v="6"/>
    <n v="1118.5065"/>
  </r>
  <r>
    <s v="T1186"/>
    <n v="1186"/>
    <n v="2"/>
    <n v="11"/>
    <n v="2024"/>
    <x v="39"/>
    <s v="C122"/>
    <n v="58"/>
    <s v="Male"/>
    <s v="Nigeria"/>
    <x v="4"/>
    <s v="Sneakers"/>
    <n v="1131.24"/>
    <n v="4"/>
    <n v="10"/>
    <s v="Mobile_Money"/>
    <m/>
    <n v="5"/>
    <n v="4072.4639999999999"/>
  </r>
  <r>
    <s v="T1187"/>
    <n v="1187"/>
    <n v="21"/>
    <n v="8"/>
    <n v="2024"/>
    <x v="147"/>
    <s v="C101"/>
    <n v="53"/>
    <s v="Male"/>
    <s v="Nigeria"/>
    <x v="1"/>
    <s v="Fitness Tracker"/>
    <n v="808.92"/>
    <n v="3"/>
    <n v="0"/>
    <s v="Mobile_Money"/>
    <m/>
    <n v="6"/>
    <n v="2426.7600000000002"/>
  </r>
  <r>
    <s v="T1188"/>
    <n v="1188"/>
    <n v="20"/>
    <n v="6"/>
    <n v="2024"/>
    <x v="104"/>
    <s v="C142"/>
    <n v="44"/>
    <s v="Female"/>
    <s v="USA"/>
    <x v="4"/>
    <s v="Headphones"/>
    <n v="820.83"/>
    <n v="3"/>
    <n v="15"/>
    <s v="Mobile_Money"/>
    <n v="2"/>
    <n v="6"/>
    <n v="2093.1165000000001"/>
  </r>
  <r>
    <s v="T1189"/>
    <n v="1189"/>
    <n v="31"/>
    <n v="5"/>
    <n v="2024"/>
    <x v="13"/>
    <s v="C132"/>
    <n v="34"/>
    <s v="Male"/>
    <s v="UK"/>
    <x v="1"/>
    <s v="Backpack"/>
    <n v="447.07"/>
    <n v="1"/>
    <n v="15"/>
    <s v="Bank_Transfer"/>
    <m/>
    <n v="9"/>
    <n v="380.0095"/>
  </r>
  <r>
    <s v="T1190"/>
    <n v="1190"/>
    <n v="10"/>
    <n v="11"/>
    <n v="2024"/>
    <x v="148"/>
    <s v="C117"/>
    <n v="26"/>
    <s v="Male"/>
    <s v="USA"/>
    <x v="3"/>
    <s v="Headphones"/>
    <n v="720.52"/>
    <n v="1"/>
    <n v="10"/>
    <s v="PayPal"/>
    <n v="5"/>
    <n v="4"/>
    <n v="648.46799999999996"/>
  </r>
  <r>
    <s v="T1191"/>
    <n v="1191"/>
    <n v="8"/>
    <n v="6"/>
    <n v="2024"/>
    <x v="126"/>
    <s v="C192"/>
    <n v="50"/>
    <s v="Female"/>
    <s v="UK"/>
    <x v="4"/>
    <s v="Backpack"/>
    <n v="31.95"/>
    <n v="3"/>
    <n v="15"/>
    <s v="Card"/>
    <n v="5"/>
    <n v="2"/>
    <n v="81.472499999999997"/>
  </r>
  <r>
    <s v="T1192"/>
    <n v="1192"/>
    <n v="5"/>
    <n v="4"/>
    <n v="2024"/>
    <x v="119"/>
    <s v="C151"/>
    <n v="37"/>
    <s v="Female"/>
    <s v="USA"/>
    <x v="1"/>
    <s v="Watch"/>
    <n v="770.59"/>
    <n v="4"/>
    <n v="10"/>
    <s v="Mobile_Money"/>
    <n v="3"/>
    <n v="9"/>
    <n v="2774.1239999999998"/>
  </r>
  <r>
    <s v="T1193"/>
    <n v="1193"/>
    <n v="20"/>
    <n v="8"/>
    <n v="2024"/>
    <x v="141"/>
    <s v="C159"/>
    <n v="30"/>
    <s v="Male"/>
    <s v="USA"/>
    <x v="3"/>
    <s v="T-shirt"/>
    <n v="1097.68"/>
    <n v="2"/>
    <n v="5"/>
    <s v="Card"/>
    <m/>
    <n v="2"/>
    <n v="2085.5920000000001"/>
  </r>
  <r>
    <s v="T1194"/>
    <n v="1194"/>
    <n v="28"/>
    <n v="6"/>
    <n v="2024"/>
    <x v="149"/>
    <s v="C197"/>
    <m/>
    <s v="Male"/>
    <s v=""/>
    <x v="2"/>
    <s v="Headphones"/>
    <n v="742.84"/>
    <n v="4"/>
    <n v="20"/>
    <s v="Bank_Transfer"/>
    <m/>
    <n v="9"/>
    <n v="2377.0880000000002"/>
  </r>
  <r>
    <s v="T1195"/>
    <n v="1195"/>
    <n v="22"/>
    <n v="4"/>
    <n v="2024"/>
    <x v="150"/>
    <s v="C112"/>
    <n v="46"/>
    <s v="Female"/>
    <s v="Nigeria"/>
    <x v="1"/>
    <s v="Fitness Tracker"/>
    <n v="1050.96"/>
    <n v="2"/>
    <n v="5"/>
    <s v="Mobile_Money"/>
    <n v="1"/>
    <n v="2"/>
    <n v="1996.8240000000001"/>
  </r>
  <r>
    <s v="T1196"/>
    <n v="1196"/>
    <n v="13"/>
    <n v="11"/>
    <n v="2024"/>
    <x v="145"/>
    <s v="C176"/>
    <n v="30"/>
    <s v="Female"/>
    <s v="USA"/>
    <x v="2"/>
    <s v="Backpack"/>
    <n v="874.29"/>
    <n v="4"/>
    <n v="10"/>
    <s v="Bank_Transfer"/>
    <n v="3"/>
    <n v="8"/>
    <n v="3147.444"/>
  </r>
  <r>
    <s v="T1197"/>
    <n v="1197"/>
    <n v="21"/>
    <n v="2"/>
    <n v="2024"/>
    <x v="118"/>
    <s v="C163"/>
    <n v="52"/>
    <s v="Male"/>
    <s v="USA"/>
    <x v="2"/>
    <s v="Blender"/>
    <n v="162.26"/>
    <n v="1"/>
    <n v="10"/>
    <s v="PayPal"/>
    <n v="3"/>
    <n v="9"/>
    <n v="146.03399999999999"/>
  </r>
  <r>
    <s v="T1198"/>
    <n v="1198"/>
    <n v="24"/>
    <n v="9"/>
    <n v="2024"/>
    <x v="97"/>
    <s v="C189"/>
    <n v="23"/>
    <s v="Female"/>
    <s v="Kenya"/>
    <x v="0"/>
    <s v="Microwave"/>
    <n v="1084.8900000000001"/>
    <n v="3"/>
    <n v="5"/>
    <s v="Bank_Transfer"/>
    <n v="3"/>
    <n v="9"/>
    <n v="3091.9364999999998"/>
  </r>
  <r>
    <s v="T1199"/>
    <n v="1199"/>
    <n v="21"/>
    <n v="10"/>
    <n v="2024"/>
    <x v="151"/>
    <s v="C122"/>
    <n v="35"/>
    <s v="Male"/>
    <s v="Nigeria"/>
    <x v="4"/>
    <s v="Blender"/>
    <n v="98.4"/>
    <n v="3"/>
    <n v="0"/>
    <s v="Bank_Transfer"/>
    <n v="1"/>
    <n v="9"/>
    <n v="295.2"/>
  </r>
  <r>
    <s v="T1200"/>
    <n v="1200"/>
    <n v="22"/>
    <n v="4"/>
    <n v="2024"/>
    <x v="150"/>
    <s v="C119"/>
    <n v="22"/>
    <s v="Male"/>
    <s v="Kenya"/>
    <x v="1"/>
    <s v="Smartphone"/>
    <n v="650.08000000000004"/>
    <n v="1"/>
    <n v="0"/>
    <s v="PayPal"/>
    <n v="5"/>
    <n v="2"/>
    <n v="650.08000000000004"/>
  </r>
  <r>
    <s v="T1201"/>
    <n v="1201"/>
    <n v="10"/>
    <n v="4"/>
    <n v="2024"/>
    <x v="107"/>
    <s v="C128"/>
    <n v="42"/>
    <s v="Male"/>
    <s v="Nigeria"/>
    <x v="2"/>
    <s v="T-shirt"/>
    <n v="187.72"/>
    <n v="2"/>
    <n v="0"/>
    <s v="Card"/>
    <n v="3"/>
    <n v="4"/>
    <n v="375.44"/>
  </r>
  <r>
    <s v="T1202"/>
    <n v="1202"/>
    <n v="22"/>
    <n v="4"/>
    <n v="2024"/>
    <x v="150"/>
    <s v="C142"/>
    <n v="19"/>
    <s v="Male"/>
    <s v="Kenya"/>
    <x v="0"/>
    <s v="T-shirt"/>
    <n v="33.81"/>
    <n v="2"/>
    <n v="10"/>
    <s v="PayPal"/>
    <n v="2"/>
    <n v="7"/>
    <n v="60.857999999999997"/>
  </r>
  <r>
    <s v="T1203"/>
    <n v="1203"/>
    <n v="21"/>
    <n v="3"/>
    <n v="2024"/>
    <x v="56"/>
    <s v="C181"/>
    <n v="27"/>
    <s v="Male"/>
    <s v="USA"/>
    <x v="3"/>
    <s v="Blender"/>
    <n v="518"/>
    <n v="2"/>
    <n v="15"/>
    <s v="PayPal"/>
    <n v="3"/>
    <n v="2"/>
    <n v="880.6"/>
  </r>
  <r>
    <s v="T1204"/>
    <n v="1204"/>
    <n v="5"/>
    <n v="7"/>
    <n v="2024"/>
    <x v="127"/>
    <s v="C119"/>
    <n v="47"/>
    <s v="Female"/>
    <s v="USA"/>
    <x v="1"/>
    <s v="Sneakers"/>
    <n v="368.15"/>
    <n v="1"/>
    <n v="10"/>
    <s v="Bank_Transfer"/>
    <n v="4"/>
    <n v="1"/>
    <n v="331.33499999999998"/>
  </r>
  <r>
    <s v="T1205"/>
    <n v="1205"/>
    <n v="22"/>
    <n v="4"/>
    <n v="2024"/>
    <x v="150"/>
    <s v="C151"/>
    <n v="22"/>
    <s v="Female"/>
    <s v="Ghana"/>
    <x v="2"/>
    <s v="Watch"/>
    <n v="593.48"/>
    <n v="2"/>
    <n v="15"/>
    <s v="Card"/>
    <n v="3"/>
    <n v="3"/>
    <n v="1008.9160000000001"/>
  </r>
  <r>
    <s v="T1206"/>
    <n v="1206"/>
    <n v="2"/>
    <n v="1"/>
    <n v="2024"/>
    <x v="58"/>
    <s v="C132"/>
    <n v="50"/>
    <s v="Female"/>
    <s v="Kenya"/>
    <x v="4"/>
    <s v="Headphones"/>
    <n v="701.1"/>
    <n v="1"/>
    <n v="5"/>
    <s v="Mobile_Money"/>
    <n v="1"/>
    <n v="4"/>
    <n v="666.04499999999996"/>
  </r>
  <r>
    <s v="T1207"/>
    <n v="1207"/>
    <n v="9"/>
    <n v="5"/>
    <n v="2024"/>
    <x v="152"/>
    <s v="C174"/>
    <n v="18"/>
    <s v="Female"/>
    <s v="UK"/>
    <x v="0"/>
    <s v="Fitness Tracker"/>
    <n v="71.61"/>
    <n v="4"/>
    <n v="20"/>
    <s v="PayPal"/>
    <m/>
    <n v="8"/>
    <n v="229.15199999999999"/>
  </r>
  <r>
    <s v="T1208"/>
    <n v="1208"/>
    <n v="7"/>
    <n v="8"/>
    <n v="2024"/>
    <x v="153"/>
    <s v="C106"/>
    <n v="35"/>
    <s v="Male"/>
    <s v="Ghana"/>
    <x v="2"/>
    <s v="T-shirt"/>
    <n v="165.14"/>
    <n v="4"/>
    <n v="15"/>
    <s v="Card"/>
    <n v="3"/>
    <n v="6"/>
    <n v="561.476"/>
  </r>
  <r>
    <s v="T1209"/>
    <n v="1209"/>
    <n v="23"/>
    <n v="2"/>
    <n v="2024"/>
    <x v="59"/>
    <s v="C187"/>
    <n v="49"/>
    <s v="Male"/>
    <s v="Kenya"/>
    <x v="4"/>
    <s v="Blender"/>
    <n v="679.2"/>
    <n v="1"/>
    <n v="0"/>
    <s v="PayPal"/>
    <m/>
    <n v="2"/>
    <n v="679.2"/>
  </r>
  <r>
    <s v="T1210"/>
    <n v="1210"/>
    <n v="8"/>
    <n v="12"/>
    <n v="2024"/>
    <x v="154"/>
    <s v="C123"/>
    <n v="28"/>
    <s v="Male"/>
    <s v="Kenya"/>
    <x v="2"/>
    <s v="Blender"/>
    <n v="424.94"/>
    <n v="3"/>
    <n v="10"/>
    <s v="PayPal"/>
    <n v="4"/>
    <n v="9"/>
    <n v="1147.338"/>
  </r>
  <r>
    <s v="T1211"/>
    <n v="1211"/>
    <n v="11"/>
    <n v="8"/>
    <n v="2024"/>
    <x v="155"/>
    <s v="C143"/>
    <n v="38"/>
    <s v="Male"/>
    <s v="Ghana"/>
    <x v="1"/>
    <s v="Watch"/>
    <n v="880.42"/>
    <n v="4"/>
    <n v="5"/>
    <s v="PayPal"/>
    <n v="2"/>
    <n v="2"/>
    <n v="3345.596"/>
  </r>
  <r>
    <s v="T1212"/>
    <n v="1212"/>
    <n v="12"/>
    <n v="8"/>
    <n v="2024"/>
    <x v="138"/>
    <s v="C127"/>
    <n v="43"/>
    <s v="Female"/>
    <s v="USA"/>
    <x v="1"/>
    <s v="Watch"/>
    <n v="789.7"/>
    <n v="2"/>
    <n v="0"/>
    <s v="PayPal"/>
    <m/>
    <n v="5"/>
    <n v="1579.4"/>
  </r>
  <r>
    <s v="T1213"/>
    <n v="1213"/>
    <n v="5"/>
    <n v="5"/>
    <n v="2024"/>
    <x v="156"/>
    <s v="C116"/>
    <n v="42"/>
    <s v="Male"/>
    <s v="Kenya"/>
    <x v="1"/>
    <s v="Laptop"/>
    <n v="1017.81"/>
    <n v="1"/>
    <n v="5"/>
    <s v="Bank_Transfer"/>
    <n v="5"/>
    <n v="4"/>
    <n v="966.91949999999997"/>
  </r>
  <r>
    <s v="T1214"/>
    <n v="1214"/>
    <n v="9"/>
    <n v="5"/>
    <n v="2024"/>
    <x v="152"/>
    <s v="C180"/>
    <n v="39"/>
    <s v="Male"/>
    <s v="USA"/>
    <x v="0"/>
    <s v="Laptop"/>
    <n v="837.14"/>
    <n v="2"/>
    <n v="20"/>
    <s v="Card"/>
    <n v="3"/>
    <n v="7"/>
    <n v="1339.424"/>
  </r>
  <r>
    <s v="T1215"/>
    <n v="1215"/>
    <n v="22"/>
    <n v="2"/>
    <n v="2024"/>
    <x v="50"/>
    <s v="C138"/>
    <n v="44"/>
    <s v="Female"/>
    <s v="Ghana"/>
    <x v="1"/>
    <s v="Sneakers"/>
    <n v="527.32000000000005"/>
    <n v="2"/>
    <n v="10"/>
    <s v="Card"/>
    <n v="4"/>
    <n v="8"/>
    <n v="949.17600000000004"/>
  </r>
  <r>
    <s v="T1216"/>
    <n v="1216"/>
    <n v="20"/>
    <n v="6"/>
    <n v="2024"/>
    <x v="104"/>
    <s v="C123"/>
    <n v="30"/>
    <s v="Female"/>
    <s v="USA"/>
    <x v="4"/>
    <s v="Sneakers"/>
    <n v="814.1"/>
    <n v="3"/>
    <n v="10"/>
    <s v="Card"/>
    <n v="4"/>
    <n v="5"/>
    <n v="2198.0700000000002"/>
  </r>
  <r>
    <s v="T1217"/>
    <n v="1217"/>
    <n v="5"/>
    <n v="8"/>
    <n v="2024"/>
    <x v="64"/>
    <s v="C181"/>
    <n v="50"/>
    <s v="Female"/>
    <s v="Nigeria"/>
    <x v="2"/>
    <s v="Smartphone"/>
    <n v="344.95"/>
    <n v="2"/>
    <n v="20"/>
    <s v="PayPal"/>
    <m/>
    <n v="5"/>
    <n v="551.91999999999996"/>
  </r>
  <r>
    <s v="T1218"/>
    <n v="1218"/>
    <n v="8"/>
    <n v="6"/>
    <n v="2024"/>
    <x v="126"/>
    <s v="C126"/>
    <n v="51"/>
    <s v="Female"/>
    <s v="UK"/>
    <x v="3"/>
    <s v="Sneakers"/>
    <n v="381.45"/>
    <n v="3"/>
    <n v="10"/>
    <s v="Bank_Transfer"/>
    <n v="2"/>
    <n v="2"/>
    <n v="1029.915"/>
  </r>
  <r>
    <s v="T1219"/>
    <n v="1219"/>
    <n v="16"/>
    <n v="7"/>
    <n v="2024"/>
    <x v="143"/>
    <s v="C117"/>
    <n v="58"/>
    <s v="Male"/>
    <s v="Kenya"/>
    <x v="4"/>
    <s v="Backpack"/>
    <n v="951"/>
    <n v="4"/>
    <n v="15"/>
    <s v="PayPal"/>
    <n v="1"/>
    <n v="8"/>
    <n v="3233.4"/>
  </r>
  <r>
    <s v="T1220"/>
    <n v="1220"/>
    <n v="3"/>
    <n v="9"/>
    <n v="2024"/>
    <x v="157"/>
    <s v="C182"/>
    <n v="52"/>
    <s v="Male"/>
    <s v="UK"/>
    <x v="4"/>
    <s v="Watch"/>
    <n v="546.78"/>
    <n v="1"/>
    <n v="5"/>
    <s v="PayPal"/>
    <n v="3"/>
    <n v="2"/>
    <n v="519.44100000000003"/>
  </r>
  <r>
    <s v="T1221"/>
    <n v="1221"/>
    <n v="19"/>
    <n v="11"/>
    <n v="2024"/>
    <x v="158"/>
    <s v="C173"/>
    <n v="18"/>
    <s v="Female"/>
    <s v="USA"/>
    <x v="1"/>
    <s v="Fitness Tracker"/>
    <n v="962.09"/>
    <n v="2"/>
    <n v="0"/>
    <s v="Card"/>
    <n v="4"/>
    <n v="6"/>
    <n v="1924.18"/>
  </r>
  <r>
    <s v="T1222"/>
    <n v="1222"/>
    <n v="21"/>
    <n v="7"/>
    <n v="2024"/>
    <x v="159"/>
    <s v="C134"/>
    <n v="38"/>
    <s v="Male"/>
    <s v="Kenya"/>
    <x v="0"/>
    <s v="Backpack"/>
    <n v="990.46"/>
    <n v="1"/>
    <n v="20"/>
    <s v="PayPal"/>
    <n v="2"/>
    <n v="8"/>
    <n v="792.36800000000005"/>
  </r>
  <r>
    <s v="T1223"/>
    <n v="1223"/>
    <n v="2"/>
    <n v="7"/>
    <n v="2024"/>
    <x v="160"/>
    <s v="C149"/>
    <n v="23"/>
    <s v="Male"/>
    <s v="USA"/>
    <x v="2"/>
    <s v="Headphones"/>
    <n v="1031.92"/>
    <n v="2"/>
    <n v="15"/>
    <s v="Mobile_Money"/>
    <n v="5"/>
    <n v="6"/>
    <n v="1754.2639999999999"/>
  </r>
  <r>
    <s v="T1224"/>
    <n v="1224"/>
    <n v="2"/>
    <n v="5"/>
    <n v="2024"/>
    <x v="161"/>
    <s v="C185"/>
    <n v="45"/>
    <s v="Male"/>
    <s v="Nigeria"/>
    <x v="0"/>
    <s v="Blender"/>
    <n v="1101.6300000000001"/>
    <n v="1"/>
    <n v="0"/>
    <s v="PayPal"/>
    <n v="4"/>
    <n v="4"/>
    <n v="1101.6300000000001"/>
  </r>
  <r>
    <s v="T1225"/>
    <n v="1225"/>
    <n v="11"/>
    <n v="9"/>
    <n v="2024"/>
    <x v="110"/>
    <s v="C164"/>
    <n v="34"/>
    <s v="Female"/>
    <s v="Ghana"/>
    <x v="2"/>
    <s v="Sneakers"/>
    <n v="528.55999999999995"/>
    <n v="2"/>
    <n v="0"/>
    <s v="Mobile_Money"/>
    <n v="2"/>
    <n v="4"/>
    <n v="1057.1199999999999"/>
  </r>
  <r>
    <s v="T1226"/>
    <n v="1226"/>
    <n v="20"/>
    <n v="10"/>
    <n v="2024"/>
    <x v="19"/>
    <s v="C198"/>
    <n v="22"/>
    <s v="Male"/>
    <s v="Kenya"/>
    <x v="2"/>
    <s v="Blender"/>
    <n v="396.26"/>
    <n v="2"/>
    <n v="20"/>
    <s v="PayPal"/>
    <n v="1"/>
    <n v="6"/>
    <n v="634.01599999999996"/>
  </r>
  <r>
    <s v="T1227"/>
    <n v="1227"/>
    <n v="6"/>
    <n v="10"/>
    <n v="2024"/>
    <x v="77"/>
    <s v="C159"/>
    <n v="48"/>
    <s v="Female"/>
    <s v="Nigeria"/>
    <x v="0"/>
    <s v="T-shirt"/>
    <n v="706.99"/>
    <n v="2"/>
    <n v="15"/>
    <s v="Bank_Transfer"/>
    <n v="1"/>
    <n v="4"/>
    <n v="1201.883"/>
  </r>
  <r>
    <s v="T1228"/>
    <n v="1228"/>
    <n v="20"/>
    <n v="11"/>
    <n v="2024"/>
    <x v="162"/>
    <s v="C120"/>
    <n v="22"/>
    <s v="Male"/>
    <s v="Nigeria"/>
    <x v="4"/>
    <s v="Smartphone"/>
    <n v="457.98"/>
    <n v="2"/>
    <n v="0"/>
    <s v="Bank_Transfer"/>
    <n v="4"/>
    <n v="8"/>
    <n v="915.96"/>
  </r>
  <r>
    <s v="T1229"/>
    <n v="1229"/>
    <n v="7"/>
    <n v="4"/>
    <n v="2024"/>
    <x v="163"/>
    <s v="C148"/>
    <n v="55"/>
    <s v="Male"/>
    <s v="Kenya"/>
    <x v="2"/>
    <s v="T-shirt"/>
    <n v="729.27"/>
    <n v="2"/>
    <n v="0"/>
    <s v="Card"/>
    <n v="4"/>
    <n v="9"/>
    <n v="1458.54"/>
  </r>
  <r>
    <s v="T1230"/>
    <n v="1230"/>
    <n v="16"/>
    <n v="7"/>
    <n v="2024"/>
    <x v="143"/>
    <s v="C112"/>
    <n v="20"/>
    <s v="Male"/>
    <s v="USA"/>
    <x v="0"/>
    <s v="Smartphone"/>
    <n v="852.59"/>
    <n v="2"/>
    <n v="15"/>
    <s v="PayPal"/>
    <m/>
    <n v="1"/>
    <n v="1449.403"/>
  </r>
  <r>
    <s v="T1231"/>
    <n v="1231"/>
    <n v="27"/>
    <n v="8"/>
    <n v="2024"/>
    <x v="164"/>
    <s v="C157"/>
    <n v="40"/>
    <s v="Female"/>
    <s v="Nigeria"/>
    <x v="2"/>
    <s v="Laptop"/>
    <n v="832.32"/>
    <n v="2"/>
    <n v="10"/>
    <s v="Mobile_Money"/>
    <n v="3"/>
    <n v="4"/>
    <n v="1498.1759999999999"/>
  </r>
  <r>
    <s v="T1232"/>
    <n v="1232"/>
    <n v="23"/>
    <n v="5"/>
    <n v="2024"/>
    <x v="165"/>
    <s v="C141"/>
    <n v="54"/>
    <s v="Male"/>
    <s v="UK"/>
    <x v="3"/>
    <s v="Blender"/>
    <n v="461.97"/>
    <n v="2"/>
    <n v="0"/>
    <s v="Mobile_Money"/>
    <n v="2"/>
    <n v="4"/>
    <n v="923.94"/>
  </r>
  <r>
    <s v="T1233"/>
    <n v="1233"/>
    <n v="6"/>
    <n v="4"/>
    <n v="2024"/>
    <x v="166"/>
    <s v="C166"/>
    <n v="54"/>
    <s v="Female"/>
    <s v="Nigeria"/>
    <x v="4"/>
    <s v="Smartphone"/>
    <n v="216.9"/>
    <n v="2"/>
    <n v="5"/>
    <s v="PayPal"/>
    <n v="4"/>
    <n v="2"/>
    <n v="412.11"/>
  </r>
  <r>
    <s v="T1234"/>
    <n v="1234"/>
    <n v="19"/>
    <n v="7"/>
    <n v="2024"/>
    <x v="95"/>
    <s v="C136"/>
    <n v="27"/>
    <s v="Female"/>
    <s v="USA"/>
    <x v="1"/>
    <s v="Microwave"/>
    <n v="528.02"/>
    <n v="1"/>
    <n v="15"/>
    <s v="Mobile_Money"/>
    <n v="3"/>
    <n v="6"/>
    <n v="448.81700000000001"/>
  </r>
  <r>
    <s v="T1235"/>
    <n v="1235"/>
    <n v="3"/>
    <n v="5"/>
    <n v="2024"/>
    <x v="167"/>
    <s v="C196"/>
    <n v="27"/>
    <s v="Female"/>
    <s v="USA"/>
    <x v="2"/>
    <s v="Backpack"/>
    <n v="188.26"/>
    <n v="3"/>
    <n v="0"/>
    <s v="Bank_Transfer"/>
    <m/>
    <n v="3"/>
    <n v="564.78"/>
  </r>
  <r>
    <s v="T1236"/>
    <n v="1236"/>
    <n v="5"/>
    <n v="7"/>
    <n v="2024"/>
    <x v="127"/>
    <s v="C143"/>
    <n v="36"/>
    <s v="Male"/>
    <s v="UK"/>
    <x v="3"/>
    <s v="Smartphone"/>
    <n v="1070.31"/>
    <n v="2"/>
    <n v="20"/>
    <s v="Mobile_Money"/>
    <n v="3"/>
    <n v="7"/>
    <n v="1712.4960000000001"/>
  </r>
  <r>
    <s v="T1237"/>
    <n v="1237"/>
    <n v="21"/>
    <n v="11"/>
    <n v="2024"/>
    <x v="168"/>
    <s v="C166"/>
    <n v="34"/>
    <s v="Male"/>
    <s v="Nigeria"/>
    <x v="1"/>
    <s v="Smartphone"/>
    <n v="428.14"/>
    <n v="3"/>
    <n v="5"/>
    <s v="Card"/>
    <n v="4"/>
    <n v="5"/>
    <n v="1220.1990000000001"/>
  </r>
  <r>
    <s v="T1238"/>
    <n v="1238"/>
    <n v="14"/>
    <n v="12"/>
    <n v="2024"/>
    <x v="1"/>
    <s v="C169"/>
    <n v="38"/>
    <s v="Male"/>
    <s v="USA"/>
    <x v="1"/>
    <s v="Backpack"/>
    <n v="202.26"/>
    <n v="2"/>
    <n v="0"/>
    <s v="Bank_Transfer"/>
    <n v="1"/>
    <n v="4"/>
    <n v="404.52"/>
  </r>
  <r>
    <s v="T1239"/>
    <n v="1239"/>
    <n v="15"/>
    <n v="9"/>
    <n v="2024"/>
    <x v="142"/>
    <s v="C155"/>
    <n v="31"/>
    <s v="Male"/>
    <s v="Kenya"/>
    <x v="2"/>
    <s v="Blender"/>
    <n v="50.03"/>
    <n v="2"/>
    <n v="5"/>
    <s v="Bank_Transfer"/>
    <n v="2"/>
    <n v="5"/>
    <n v="95.057000000000002"/>
  </r>
  <r>
    <s v="T1240"/>
    <n v="1240"/>
    <n v="27"/>
    <n v="5"/>
    <n v="2024"/>
    <x v="169"/>
    <s v="C134"/>
    <n v="26"/>
    <s v="Female"/>
    <s v="Ghana"/>
    <x v="0"/>
    <s v="Blender"/>
    <n v="782.07"/>
    <n v="1"/>
    <n v="5"/>
    <s v="Bank_Transfer"/>
    <n v="2"/>
    <n v="8"/>
    <n v="742.9665"/>
  </r>
  <r>
    <s v="T1241"/>
    <n v="1241"/>
    <n v="8"/>
    <n v="9"/>
    <n v="2024"/>
    <x v="71"/>
    <s v="C164"/>
    <n v="18"/>
    <s v="Female"/>
    <s v="Ghana"/>
    <x v="2"/>
    <s v="Backpack"/>
    <n v="771.54"/>
    <n v="4"/>
    <n v="10"/>
    <s v="PayPal"/>
    <n v="1"/>
    <n v="3"/>
    <n v="2777.5439999999999"/>
  </r>
  <r>
    <s v="T1242"/>
    <n v="1242"/>
    <n v="11"/>
    <n v="12"/>
    <n v="2024"/>
    <x v="49"/>
    <s v="C187"/>
    <n v="30"/>
    <s v="Female"/>
    <s v="Ghana"/>
    <x v="3"/>
    <s v="T-shirt"/>
    <n v="421.91"/>
    <n v="4"/>
    <n v="5"/>
    <s v="PayPal"/>
    <n v="4"/>
    <n v="7"/>
    <n v="1603.258"/>
  </r>
  <r>
    <s v="T1243"/>
    <n v="1243"/>
    <n v="26"/>
    <n v="5"/>
    <n v="2024"/>
    <x v="170"/>
    <s v="C148"/>
    <n v="21"/>
    <s v="Male"/>
    <s v="Nigeria"/>
    <x v="1"/>
    <s v="Microwave"/>
    <n v="104.62"/>
    <n v="1"/>
    <n v="10"/>
    <s v="Bank_Transfer"/>
    <n v="2"/>
    <n v="6"/>
    <n v="94.158000000000001"/>
  </r>
  <r>
    <s v="T1244"/>
    <n v="1244"/>
    <n v="27"/>
    <n v="5"/>
    <n v="2024"/>
    <x v="169"/>
    <s v="C173"/>
    <n v="18"/>
    <s v="Female"/>
    <s v="UK"/>
    <x v="2"/>
    <s v="Fitness Tracker"/>
    <n v="503.36"/>
    <n v="3"/>
    <n v="15"/>
    <s v="PayPal"/>
    <n v="4"/>
    <n v="1"/>
    <n v="1283.568"/>
  </r>
  <r>
    <s v="T1245"/>
    <n v="1245"/>
    <n v="17"/>
    <n v="12"/>
    <n v="2024"/>
    <x v="116"/>
    <s v="C173"/>
    <n v="57"/>
    <s v="Male"/>
    <s v="USA"/>
    <x v="0"/>
    <s v="Headphones"/>
    <n v="387.24"/>
    <n v="4"/>
    <n v="10"/>
    <s v="Mobile_Money"/>
    <m/>
    <n v="7"/>
    <n v="1394.0640000000001"/>
  </r>
  <r>
    <s v="T1246"/>
    <n v="1246"/>
    <n v="17"/>
    <n v="7"/>
    <n v="2024"/>
    <x v="171"/>
    <s v="C150"/>
    <n v="49"/>
    <s v="Female"/>
    <s v="Kenya"/>
    <x v="2"/>
    <s v="Microwave"/>
    <n v="819"/>
    <n v="1"/>
    <n v="20"/>
    <s v="PayPal"/>
    <n v="4"/>
    <n v="7"/>
    <n v="655.20000000000005"/>
  </r>
  <r>
    <s v="T1247"/>
    <n v="1247"/>
    <n v="3"/>
    <n v="11"/>
    <n v="2024"/>
    <x v="172"/>
    <s v="C135"/>
    <n v="51"/>
    <s v="Male"/>
    <s v="Kenya"/>
    <x v="4"/>
    <s v="Blender"/>
    <n v="734.82"/>
    <n v="1"/>
    <n v="0"/>
    <s v="PayPal"/>
    <n v="3"/>
    <n v="1"/>
    <n v="734.82"/>
  </r>
  <r>
    <s v="T1248"/>
    <n v="1248"/>
    <n v="7"/>
    <n v="5"/>
    <n v="2024"/>
    <x v="136"/>
    <s v="C189"/>
    <n v="45"/>
    <s v="Male"/>
    <s v="Nigeria"/>
    <x v="0"/>
    <s v="Fitness Tracker"/>
    <n v="450.22"/>
    <n v="4"/>
    <n v="15"/>
    <s v="Bank_Transfer"/>
    <n v="1"/>
    <n v="9"/>
    <n v="1530.748"/>
  </r>
  <r>
    <s v="T1249"/>
    <n v="1249"/>
    <n v="8"/>
    <n v="2"/>
    <n v="2024"/>
    <x v="173"/>
    <s v="C145"/>
    <n v="48"/>
    <s v="Female"/>
    <s v="Ghana"/>
    <x v="3"/>
    <s v="Laptop"/>
    <n v="277.11"/>
    <n v="3"/>
    <n v="15"/>
    <s v="Card"/>
    <n v="4"/>
    <n v="6"/>
    <n v="706.63049999999998"/>
  </r>
  <r>
    <s v="T1250"/>
    <n v="1250"/>
    <n v="3"/>
    <n v="12"/>
    <n v="2024"/>
    <x v="76"/>
    <s v="C110"/>
    <n v="25"/>
    <s v="Female"/>
    <s v="Nigeria"/>
    <x v="1"/>
    <s v="Sneakers"/>
    <n v="1185.8800000000001"/>
    <n v="1"/>
    <n v="20"/>
    <s v="Card"/>
    <m/>
    <n v="2"/>
    <n v="948.70399999999995"/>
  </r>
  <r>
    <s v="T1251"/>
    <n v="1251"/>
    <n v="25"/>
    <n v="12"/>
    <n v="2024"/>
    <x v="12"/>
    <s v="C190"/>
    <n v="56"/>
    <s v="Female"/>
    <s v="UK"/>
    <x v="2"/>
    <s v="Smartphone"/>
    <n v="555.72"/>
    <n v="2"/>
    <n v="10"/>
    <s v="Card"/>
    <n v="5"/>
    <n v="5"/>
    <n v="1000.296"/>
  </r>
  <r>
    <s v="T1252"/>
    <n v="1252"/>
    <n v="8"/>
    <n v="5"/>
    <n v="2024"/>
    <x v="86"/>
    <s v="C198"/>
    <n v="43"/>
    <s v="Female"/>
    <s v="UK"/>
    <x v="0"/>
    <s v="Backpack"/>
    <n v="832.16"/>
    <n v="3"/>
    <n v="0"/>
    <s v="Mobile_Money"/>
    <n v="1"/>
    <n v="4"/>
    <n v="2496.48"/>
  </r>
  <r>
    <s v="T1253"/>
    <n v="1253"/>
    <n v="23"/>
    <n v="9"/>
    <n v="2024"/>
    <x v="174"/>
    <s v="C175"/>
    <n v="51"/>
    <s v="Male"/>
    <s v="USA"/>
    <x v="4"/>
    <s v="Backpack"/>
    <n v="185.85"/>
    <n v="3"/>
    <n v="10"/>
    <s v="PayPal"/>
    <n v="2"/>
    <n v="7"/>
    <n v="501.79500000000002"/>
  </r>
  <r>
    <s v="T1254"/>
    <n v="1254"/>
    <n v="30"/>
    <n v="5"/>
    <n v="2024"/>
    <x v="175"/>
    <s v="C107"/>
    <n v="20"/>
    <s v="Female"/>
    <s v="USA"/>
    <x v="0"/>
    <s v="Smartphone"/>
    <n v="593"/>
    <n v="4"/>
    <n v="5"/>
    <s v="Card"/>
    <n v="3"/>
    <n v="8"/>
    <n v="2253.4"/>
  </r>
  <r>
    <s v="T1255"/>
    <n v="1255"/>
    <n v="24"/>
    <n v="10"/>
    <n v="2024"/>
    <x v="176"/>
    <s v="C167"/>
    <n v="29"/>
    <s v="Female"/>
    <s v="UK"/>
    <x v="4"/>
    <s v="Sneakers"/>
    <n v="52.49"/>
    <n v="4"/>
    <n v="10"/>
    <s v="Bank_Transfer"/>
    <n v="2"/>
    <n v="1"/>
    <n v="188.964"/>
  </r>
  <r>
    <s v="T1256"/>
    <n v="1256"/>
    <n v="8"/>
    <n v="4"/>
    <n v="2024"/>
    <x v="103"/>
    <s v="C182"/>
    <n v="18"/>
    <s v="Female"/>
    <s v="UK"/>
    <x v="3"/>
    <s v="Headphones"/>
    <n v="616.44000000000005"/>
    <n v="2"/>
    <n v="15"/>
    <s v="Card"/>
    <m/>
    <n v="5"/>
    <n v="1047.9480000000001"/>
  </r>
  <r>
    <s v="T1257"/>
    <n v="1257"/>
    <n v="19"/>
    <n v="9"/>
    <n v="2024"/>
    <x v="177"/>
    <s v="C130"/>
    <n v="22"/>
    <s v="Male"/>
    <s v="UK"/>
    <x v="1"/>
    <s v="Sneakers"/>
    <n v="1157.54"/>
    <n v="1"/>
    <n v="0"/>
    <s v="Card"/>
    <m/>
    <n v="3"/>
    <n v="1157.54"/>
  </r>
  <r>
    <s v="T1258"/>
    <n v="1258"/>
    <n v="8"/>
    <n v="9"/>
    <n v="2024"/>
    <x v="71"/>
    <s v="C173"/>
    <n v="47"/>
    <s v="Male"/>
    <s v="Nigeria"/>
    <x v="3"/>
    <s v="Fitness Tracker"/>
    <n v="473.36"/>
    <n v="4"/>
    <n v="10"/>
    <s v="PayPal"/>
    <n v="2"/>
    <n v="1"/>
    <n v="1704.096"/>
  </r>
  <r>
    <s v="T1259"/>
    <n v="1259"/>
    <n v="23"/>
    <n v="5"/>
    <n v="2024"/>
    <x v="165"/>
    <s v="C145"/>
    <n v="47"/>
    <s v="Female"/>
    <s v="UK"/>
    <x v="2"/>
    <s v="Sneakers"/>
    <n v="66.02"/>
    <n v="4"/>
    <n v="0"/>
    <s v="PayPal"/>
    <n v="1"/>
    <n v="3"/>
    <n v="264.08"/>
  </r>
  <r>
    <s v="T1260"/>
    <n v="1260"/>
    <n v="11"/>
    <n v="12"/>
    <n v="2024"/>
    <x v="49"/>
    <s v="C117"/>
    <n v="34"/>
    <s v="Male"/>
    <s v="Kenya"/>
    <x v="0"/>
    <s v="Fitness Tracker"/>
    <n v="56.53"/>
    <n v="3"/>
    <n v="0"/>
    <s v="PayPal"/>
    <n v="2"/>
    <n v="6"/>
    <n v="169.59"/>
  </r>
  <r>
    <s v="T1261"/>
    <n v="1261"/>
    <n v="21"/>
    <n v="4"/>
    <n v="2024"/>
    <x v="178"/>
    <s v="C110"/>
    <n v="40"/>
    <s v="Female"/>
    <s v="Ghana"/>
    <x v="4"/>
    <s v="Sneakers"/>
    <n v="477.82"/>
    <n v="4"/>
    <n v="5"/>
    <s v="Mobile_Money"/>
    <n v="4"/>
    <n v="7"/>
    <n v="1815.7159999999999"/>
  </r>
  <r>
    <s v="T1262"/>
    <n v="1262"/>
    <n v="29"/>
    <n v="2"/>
    <n v="2024"/>
    <x v="179"/>
    <s v="C143"/>
    <n v="32"/>
    <s v="Male"/>
    <s v="UK"/>
    <x v="4"/>
    <s v="Headphones"/>
    <n v="208.83"/>
    <n v="4"/>
    <n v="5"/>
    <s v="Mobile_Money"/>
    <n v="2"/>
    <n v="8"/>
    <n v="793.55399999999997"/>
  </r>
  <r>
    <s v="T1263"/>
    <n v="1263"/>
    <n v="2"/>
    <n v="1"/>
    <n v="2024"/>
    <x v="58"/>
    <s v="C153"/>
    <n v="54"/>
    <s v="Male"/>
    <s v="Ghana"/>
    <x v="0"/>
    <s v="Headphones"/>
    <n v="47.56"/>
    <n v="4"/>
    <n v="15"/>
    <s v="Card"/>
    <n v="3"/>
    <n v="4"/>
    <n v="161.70400000000001"/>
  </r>
  <r>
    <s v="T1264"/>
    <n v="1264"/>
    <n v="30"/>
    <n v="10"/>
    <n v="2024"/>
    <x v="70"/>
    <s v="C162"/>
    <n v="38"/>
    <s v="Male"/>
    <s v="Nigeria"/>
    <x v="0"/>
    <s v="Blender"/>
    <n v="912.33"/>
    <n v="4"/>
    <n v="20"/>
    <s v="PayPal"/>
    <n v="3"/>
    <n v="3"/>
    <n v="2919.4560000000001"/>
  </r>
  <r>
    <s v="T1265"/>
    <n v="1265"/>
    <n v="10"/>
    <n v="9"/>
    <n v="2024"/>
    <x v="180"/>
    <s v="C133"/>
    <n v="31"/>
    <s v="Male"/>
    <s v="Ghana"/>
    <x v="2"/>
    <s v="Smartphone"/>
    <n v="561.05999999999995"/>
    <n v="3"/>
    <n v="0"/>
    <s v="Card"/>
    <n v="5"/>
    <n v="5"/>
    <n v="1683.18"/>
  </r>
  <r>
    <s v="T1266"/>
    <n v="1266"/>
    <n v="19"/>
    <n v="5"/>
    <n v="2024"/>
    <x v="181"/>
    <s v="C148"/>
    <n v="19"/>
    <s v="Female"/>
    <s v="Nigeria"/>
    <x v="3"/>
    <s v="Headphones"/>
    <n v="361.31"/>
    <n v="2"/>
    <n v="20"/>
    <s v="Bank_Transfer"/>
    <n v="3"/>
    <n v="9"/>
    <n v="578.096"/>
  </r>
  <r>
    <s v="T1267"/>
    <n v="1267"/>
    <n v="6"/>
    <n v="2"/>
    <n v="2024"/>
    <x v="182"/>
    <s v="C145"/>
    <n v="28"/>
    <s v="Female"/>
    <s v="Kenya"/>
    <x v="4"/>
    <s v="Fitness Tracker"/>
    <n v="1082.0999999999999"/>
    <n v="2"/>
    <n v="15"/>
    <s v="Bank_Transfer"/>
    <n v="2"/>
    <n v="6"/>
    <n v="1839.57"/>
  </r>
  <r>
    <s v="T1268"/>
    <n v="1268"/>
    <n v="8"/>
    <n v="6"/>
    <n v="2024"/>
    <x v="126"/>
    <s v="C146"/>
    <n v="56"/>
    <s v="Female"/>
    <s v="Nigeria"/>
    <x v="2"/>
    <s v="Headphones"/>
    <n v="157.04"/>
    <n v="1"/>
    <n v="0"/>
    <s v="PayPal"/>
    <n v="3"/>
    <n v="9"/>
    <n v="157.04"/>
  </r>
  <r>
    <s v="T1269"/>
    <n v="1269"/>
    <n v="9"/>
    <n v="1"/>
    <n v="2024"/>
    <x v="85"/>
    <s v="C125"/>
    <n v="55"/>
    <s v="Male"/>
    <s v="Nigeria"/>
    <x v="3"/>
    <s v="Blender"/>
    <n v="1147.98"/>
    <n v="4"/>
    <n v="0"/>
    <s v="PayPal"/>
    <n v="1"/>
    <n v="6"/>
    <n v="4591.92"/>
  </r>
  <r>
    <s v="T1270"/>
    <n v="1270"/>
    <n v="20"/>
    <n v="8"/>
    <n v="2024"/>
    <x v="141"/>
    <s v="C115"/>
    <n v="51"/>
    <s v="Female"/>
    <s v="USA"/>
    <x v="2"/>
    <s v="Backpack"/>
    <n v="390.48"/>
    <n v="3"/>
    <n v="20"/>
    <s v="Bank_Transfer"/>
    <n v="3"/>
    <n v="2"/>
    <n v="937.15200000000004"/>
  </r>
  <r>
    <s v="T1271"/>
    <n v="1271"/>
    <n v="8"/>
    <n v="4"/>
    <n v="2024"/>
    <x v="103"/>
    <s v="C163"/>
    <n v="55"/>
    <s v="Female"/>
    <s v="UK"/>
    <x v="4"/>
    <s v="Fitness Tracker"/>
    <n v="1068.32"/>
    <n v="1"/>
    <n v="10"/>
    <s v="PayPal"/>
    <n v="4"/>
    <n v="5"/>
    <n v="961.48800000000006"/>
  </r>
  <r>
    <s v="T1272"/>
    <n v="1272"/>
    <n v="26"/>
    <n v="5"/>
    <n v="2024"/>
    <x v="170"/>
    <s v="C197"/>
    <n v="51"/>
    <s v="Female"/>
    <s v="UK"/>
    <x v="0"/>
    <s v="Blender"/>
    <n v="731.47"/>
    <n v="1"/>
    <n v="5"/>
    <s v="Mobile_Money"/>
    <n v="1"/>
    <n v="9"/>
    <n v="694.89649999999995"/>
  </r>
  <r>
    <s v="T1273"/>
    <n v="1273"/>
    <n v="30"/>
    <n v="10"/>
    <n v="2024"/>
    <x v="70"/>
    <s v="C186"/>
    <n v="35"/>
    <s v="Male"/>
    <s v="Kenya"/>
    <x v="0"/>
    <s v="T-shirt"/>
    <n v="995.51"/>
    <n v="2"/>
    <n v="10"/>
    <s v="Mobile_Money"/>
    <n v="5"/>
    <n v="8"/>
    <n v="1791.9179999999999"/>
  </r>
  <r>
    <s v="T1274"/>
    <n v="1274"/>
    <n v="26"/>
    <n v="7"/>
    <n v="2024"/>
    <x v="74"/>
    <s v="C171"/>
    <n v="47"/>
    <s v="Male"/>
    <s v="Kenya"/>
    <x v="3"/>
    <s v="T-shirt"/>
    <n v="1181.1400000000001"/>
    <n v="3"/>
    <n v="20"/>
    <s v="PayPal"/>
    <n v="4"/>
    <n v="7"/>
    <n v="2834.7359999999999"/>
  </r>
  <r>
    <s v="T1275"/>
    <n v="1275"/>
    <n v="10"/>
    <n v="5"/>
    <n v="2024"/>
    <x v="14"/>
    <s v="C192"/>
    <n v="32"/>
    <s v="Male"/>
    <s v="UK"/>
    <x v="1"/>
    <s v="Laptop"/>
    <n v="360.32"/>
    <n v="3"/>
    <n v="5"/>
    <s v="Bank_Transfer"/>
    <n v="2"/>
    <n v="1"/>
    <n v="1026.912"/>
  </r>
  <r>
    <s v="T1276"/>
    <n v="1276"/>
    <n v="31"/>
    <n v="5"/>
    <n v="2024"/>
    <x v="13"/>
    <s v="C189"/>
    <n v="44"/>
    <s v="Female"/>
    <s v="USA"/>
    <x v="3"/>
    <s v="Sneakers"/>
    <n v="1154.1400000000001"/>
    <n v="3"/>
    <n v="10"/>
    <s v="Card"/>
    <n v="2"/>
    <n v="4"/>
    <n v="3116.1779999999999"/>
  </r>
  <r>
    <s v="T1277"/>
    <n v="1277"/>
    <n v="23"/>
    <n v="2"/>
    <n v="2024"/>
    <x v="59"/>
    <s v="C140"/>
    <n v="51"/>
    <s v="Female"/>
    <s v="UK"/>
    <x v="1"/>
    <s v="Smartphone"/>
    <n v="479.59"/>
    <n v="2"/>
    <n v="5"/>
    <s v="PayPal"/>
    <n v="2"/>
    <n v="7"/>
    <n v="911.221"/>
  </r>
  <r>
    <s v="T1278"/>
    <n v="1278"/>
    <n v="29"/>
    <n v="4"/>
    <n v="2024"/>
    <x v="183"/>
    <s v="C115"/>
    <n v="55"/>
    <s v="Female"/>
    <s v="USA"/>
    <x v="2"/>
    <s v="Watch"/>
    <n v="474.9"/>
    <n v="2"/>
    <n v="0"/>
    <s v="PayPal"/>
    <n v="4"/>
    <n v="7"/>
    <n v="949.8"/>
  </r>
  <r>
    <s v="T1279"/>
    <n v="1279"/>
    <n v="9"/>
    <n v="6"/>
    <n v="2024"/>
    <x v="22"/>
    <s v="C171"/>
    <n v="50"/>
    <s v="Male"/>
    <s v="Kenya"/>
    <x v="2"/>
    <s v="Microwave"/>
    <n v="421.66"/>
    <n v="2"/>
    <n v="10"/>
    <s v="Card"/>
    <n v="4"/>
    <n v="6"/>
    <n v="758.98800000000006"/>
  </r>
  <r>
    <s v="T1280"/>
    <n v="1280"/>
    <n v="25"/>
    <n v="4"/>
    <n v="2024"/>
    <x v="140"/>
    <s v="C101"/>
    <m/>
    <s v="Male"/>
    <s v=""/>
    <x v="4"/>
    <s v="Blender"/>
    <n v="658.86"/>
    <n v="2"/>
    <n v="5"/>
    <s v="PayPal"/>
    <m/>
    <n v="8"/>
    <n v="1251.8340000000001"/>
  </r>
  <r>
    <s v="T1281"/>
    <n v="1281"/>
    <n v="15"/>
    <n v="3"/>
    <n v="2024"/>
    <x v="184"/>
    <s v="C181"/>
    <n v="32"/>
    <s v="Female"/>
    <s v="Kenya"/>
    <x v="1"/>
    <s v="Backpack"/>
    <n v="201.89"/>
    <n v="2"/>
    <n v="5"/>
    <s v="Card"/>
    <n v="1"/>
    <n v="6"/>
    <n v="383.59100000000001"/>
  </r>
  <r>
    <s v="T1282"/>
    <n v="1282"/>
    <n v="22"/>
    <n v="4"/>
    <n v="2024"/>
    <x v="150"/>
    <s v="C106"/>
    <n v="47"/>
    <s v="Male"/>
    <s v="Kenya"/>
    <x v="4"/>
    <s v="Microwave"/>
    <n v="673.38"/>
    <n v="4"/>
    <n v="5"/>
    <s v="Bank_Transfer"/>
    <m/>
    <n v="3"/>
    <n v="2558.8440000000001"/>
  </r>
  <r>
    <s v="T1283"/>
    <n v="1283"/>
    <n v="13"/>
    <n v="4"/>
    <n v="2024"/>
    <x v="185"/>
    <s v="C103"/>
    <n v="59"/>
    <s v="Male"/>
    <s v="Nigeria"/>
    <x v="0"/>
    <s v="Backpack"/>
    <n v="659.21"/>
    <n v="4"/>
    <n v="10"/>
    <s v="Mobile_Money"/>
    <n v="1"/>
    <n v="4"/>
    <n v="2373.1559999999999"/>
  </r>
  <r>
    <s v="T1284"/>
    <n v="1284"/>
    <n v="5"/>
    <n v="12"/>
    <n v="2024"/>
    <x v="51"/>
    <s v="C187"/>
    <n v="34"/>
    <s v="Male"/>
    <s v="Nigeria"/>
    <x v="1"/>
    <s v="Microwave"/>
    <n v="919.04"/>
    <n v="3"/>
    <n v="15"/>
    <s v="Bank_Transfer"/>
    <n v="2"/>
    <n v="3"/>
    <n v="2343.5520000000001"/>
  </r>
  <r>
    <s v="T1285"/>
    <n v="1285"/>
    <n v="10"/>
    <n v="9"/>
    <n v="2024"/>
    <x v="180"/>
    <s v="C110"/>
    <n v="22"/>
    <s v="Male"/>
    <s v="Nigeria"/>
    <x v="3"/>
    <s v="Blender"/>
    <n v="1003.71"/>
    <n v="1"/>
    <n v="10"/>
    <s v="Mobile_Money"/>
    <m/>
    <n v="1"/>
    <n v="903.33900000000006"/>
  </r>
  <r>
    <s v="T1286"/>
    <n v="1286"/>
    <n v="14"/>
    <n v="8"/>
    <n v="2024"/>
    <x v="106"/>
    <s v="C131"/>
    <n v="46"/>
    <s v="Female"/>
    <s v="Nigeria"/>
    <x v="0"/>
    <s v="Watch"/>
    <n v="539.72"/>
    <n v="3"/>
    <n v="20"/>
    <s v="Card"/>
    <n v="3"/>
    <n v="5"/>
    <n v="1295.328"/>
  </r>
  <r>
    <s v="T1287"/>
    <n v="1287"/>
    <n v="21"/>
    <n v="4"/>
    <n v="2024"/>
    <x v="178"/>
    <s v="C175"/>
    <n v="21"/>
    <s v="Male"/>
    <s v="USA"/>
    <x v="0"/>
    <s v="Microwave"/>
    <n v="376.75"/>
    <n v="1"/>
    <n v="10"/>
    <s v="Mobile_Money"/>
    <n v="2"/>
    <n v="1"/>
    <n v="339.07499999999999"/>
  </r>
  <r>
    <s v="T1288"/>
    <n v="1288"/>
    <n v="8"/>
    <n v="4"/>
    <n v="2024"/>
    <x v="103"/>
    <s v="C120"/>
    <n v="27"/>
    <s v="Male"/>
    <s v="UK"/>
    <x v="3"/>
    <s v="Blender"/>
    <n v="326.02"/>
    <n v="2"/>
    <n v="5"/>
    <s v="Bank_Transfer"/>
    <n v="5"/>
    <n v="1"/>
    <n v="619.43799999999999"/>
  </r>
  <r>
    <s v="T1289"/>
    <n v="1289"/>
    <n v="1"/>
    <n v="6"/>
    <n v="2024"/>
    <x v="186"/>
    <s v="C174"/>
    <n v="34"/>
    <s v="Male"/>
    <s v="Ghana"/>
    <x v="0"/>
    <s v="Headphones"/>
    <n v="249.66"/>
    <n v="1"/>
    <n v="0"/>
    <s v="Mobile_Money"/>
    <n v="1"/>
    <n v="2"/>
    <n v="249.66"/>
  </r>
  <r>
    <s v="T1290"/>
    <n v="1290"/>
    <n v="14"/>
    <n v="12"/>
    <n v="2024"/>
    <x v="1"/>
    <s v="C182"/>
    <n v="27"/>
    <s v="Male"/>
    <s v="Kenya"/>
    <x v="1"/>
    <s v="Watch"/>
    <n v="88.02"/>
    <n v="3"/>
    <n v="10"/>
    <s v="Card"/>
    <n v="4"/>
    <n v="4"/>
    <n v="237.654"/>
  </r>
  <r>
    <s v="T1291"/>
    <n v="1291"/>
    <n v="3"/>
    <n v="12"/>
    <n v="2024"/>
    <x v="76"/>
    <s v="C156"/>
    <n v="34"/>
    <s v="Female"/>
    <s v="USA"/>
    <x v="4"/>
    <s v="Fitness Tracker"/>
    <n v="424.09"/>
    <n v="3"/>
    <n v="10"/>
    <s v="Mobile_Money"/>
    <n v="1"/>
    <n v="6"/>
    <n v="1145.0429999999999"/>
  </r>
  <r>
    <s v="T1292"/>
    <n v="1292"/>
    <n v="12"/>
    <n v="7"/>
    <n v="2024"/>
    <x v="187"/>
    <s v="C168"/>
    <n v="37"/>
    <s v="Female"/>
    <s v="Ghana"/>
    <x v="0"/>
    <s v="Backpack"/>
    <n v="338.89"/>
    <n v="1"/>
    <n v="5"/>
    <s v="PayPal"/>
    <n v="4"/>
    <n v="8"/>
    <n v="321.94549999999998"/>
  </r>
  <r>
    <s v="T1293"/>
    <n v="1293"/>
    <n v="5"/>
    <n v="11"/>
    <n v="2024"/>
    <x v="62"/>
    <s v="C162"/>
    <n v="41"/>
    <s v="Male"/>
    <s v="USA"/>
    <x v="1"/>
    <s v="T-shirt"/>
    <n v="1160.3699999999999"/>
    <n v="4"/>
    <n v="0"/>
    <s v="Bank_Transfer"/>
    <m/>
    <n v="3"/>
    <n v="4641.4799999999996"/>
  </r>
  <r>
    <s v="T1294"/>
    <n v="1294"/>
    <n v="11"/>
    <n v="6"/>
    <n v="2024"/>
    <x v="90"/>
    <s v="C132"/>
    <n v="22"/>
    <s v="Male"/>
    <s v="USA"/>
    <x v="2"/>
    <s v="Sneakers"/>
    <n v="678.1"/>
    <n v="2"/>
    <n v="0"/>
    <s v="PayPal"/>
    <n v="5"/>
    <n v="1"/>
    <n v="1356.2"/>
  </r>
  <r>
    <s v="T1295"/>
    <n v="1295"/>
    <n v="26"/>
    <n v="7"/>
    <n v="2024"/>
    <x v="74"/>
    <s v="C133"/>
    <n v="51"/>
    <s v="Male"/>
    <s v="Kenya"/>
    <x v="1"/>
    <s v="T-shirt"/>
    <n v="429.79"/>
    <n v="2"/>
    <n v="20"/>
    <s v="Card"/>
    <m/>
    <n v="3"/>
    <n v="687.66399999999999"/>
  </r>
  <r>
    <s v="T1296"/>
    <n v="1296"/>
    <n v="17"/>
    <n v="6"/>
    <n v="2024"/>
    <x v="188"/>
    <s v="C115"/>
    <n v="23"/>
    <s v="Male"/>
    <s v="UK"/>
    <x v="4"/>
    <s v="Watch"/>
    <n v="704.95"/>
    <n v="3"/>
    <n v="10"/>
    <s v="Mobile_Money"/>
    <n v="5"/>
    <n v="3"/>
    <n v="1903.365"/>
  </r>
  <r>
    <s v="T1297"/>
    <n v="1297"/>
    <n v="9"/>
    <n v="6"/>
    <n v="2024"/>
    <x v="22"/>
    <s v="C143"/>
    <n v="19"/>
    <s v="Male"/>
    <s v="Nigeria"/>
    <x v="1"/>
    <s v="Fitness Tracker"/>
    <n v="184.25"/>
    <n v="4"/>
    <n v="0"/>
    <s v="PayPal"/>
    <n v="1"/>
    <n v="5"/>
    <n v="737"/>
  </r>
  <r>
    <s v="T1298"/>
    <n v="1298"/>
    <n v="8"/>
    <n v="3"/>
    <n v="2024"/>
    <x v="189"/>
    <s v="C117"/>
    <n v="30"/>
    <s v="Male"/>
    <s v="UK"/>
    <x v="3"/>
    <s v="Backpack"/>
    <n v="543.97"/>
    <n v="1"/>
    <n v="0"/>
    <s v="PayPal"/>
    <n v="4"/>
    <n v="4"/>
    <n v="543.97"/>
  </r>
  <r>
    <s v="T1299"/>
    <n v="1299"/>
    <n v="15"/>
    <n v="10"/>
    <n v="2024"/>
    <x v="91"/>
    <s v="C104"/>
    <n v="28"/>
    <s v="Female"/>
    <s v="Kenya"/>
    <x v="4"/>
    <s v="Fitness Tracker"/>
    <n v="758.96"/>
    <n v="2"/>
    <n v="15"/>
    <s v="Mobile_Money"/>
    <m/>
    <n v="4"/>
    <n v="1290.232"/>
  </r>
  <r>
    <s v="T1300"/>
    <n v="1300"/>
    <n v="3"/>
    <n v="10"/>
    <n v="2024"/>
    <x v="21"/>
    <s v="C175"/>
    <n v="40"/>
    <s v="Male"/>
    <s v="Kenya"/>
    <x v="2"/>
    <s v="Microwave"/>
    <n v="596.9"/>
    <n v="4"/>
    <n v="15"/>
    <s v="Mobile_Money"/>
    <n v="5"/>
    <n v="9"/>
    <n v="2029.46"/>
  </r>
  <r>
    <s v="T1301"/>
    <n v="1301"/>
    <n v="30"/>
    <n v="10"/>
    <n v="2024"/>
    <x v="70"/>
    <s v="C138"/>
    <n v="33"/>
    <s v="Female"/>
    <s v="Kenya"/>
    <x v="3"/>
    <s v="Backpack"/>
    <n v="494.1"/>
    <n v="2"/>
    <n v="0"/>
    <s v="Bank_Transfer"/>
    <n v="2"/>
    <n v="7"/>
    <n v="988.2"/>
  </r>
  <r>
    <s v="T1302"/>
    <n v="1302"/>
    <n v="14"/>
    <n v="5"/>
    <n v="2024"/>
    <x v="40"/>
    <s v="C138"/>
    <n v="48"/>
    <s v="Female"/>
    <s v="Ghana"/>
    <x v="1"/>
    <s v="Microwave"/>
    <n v="1192.74"/>
    <n v="4"/>
    <n v="20"/>
    <s v="PayPal"/>
    <n v="2"/>
    <n v="4"/>
    <n v="3816.768"/>
  </r>
  <r>
    <s v="T1303"/>
    <n v="1303"/>
    <n v="13"/>
    <n v="7"/>
    <n v="2024"/>
    <x v="190"/>
    <s v="C162"/>
    <n v="28"/>
    <s v="Male"/>
    <s v="UK"/>
    <x v="4"/>
    <s v="Blender"/>
    <n v="1058.77"/>
    <n v="4"/>
    <n v="0"/>
    <s v="PayPal"/>
    <m/>
    <n v="3"/>
    <n v="4235.08"/>
  </r>
  <r>
    <s v="T1304"/>
    <n v="1304"/>
    <n v="7"/>
    <n v="5"/>
    <n v="2024"/>
    <x v="136"/>
    <s v="C154"/>
    <n v="33"/>
    <s v="Female"/>
    <s v="UK"/>
    <x v="2"/>
    <s v="Watch"/>
    <n v="755.62"/>
    <n v="3"/>
    <n v="5"/>
    <s v="Card"/>
    <n v="4"/>
    <n v="6"/>
    <n v="2153.5169999999998"/>
  </r>
  <r>
    <s v="T1305"/>
    <n v="1305"/>
    <n v="2"/>
    <n v="2"/>
    <n v="2024"/>
    <x v="98"/>
    <s v="C122"/>
    <n v="25"/>
    <s v="Female"/>
    <s v="USA"/>
    <x v="3"/>
    <s v="Blender"/>
    <n v="691.87"/>
    <n v="2"/>
    <n v="10"/>
    <s v="Bank_Transfer"/>
    <m/>
    <n v="3"/>
    <n v="1245.366"/>
  </r>
  <r>
    <s v="T1306"/>
    <n v="1306"/>
    <n v="24"/>
    <n v="6"/>
    <n v="2024"/>
    <x v="191"/>
    <s v="C156"/>
    <n v="21"/>
    <s v="Female"/>
    <s v="USA"/>
    <x v="2"/>
    <s v="Laptop"/>
    <n v="752.38"/>
    <n v="1"/>
    <n v="20"/>
    <s v="Card"/>
    <n v="1"/>
    <n v="6"/>
    <n v="601.904"/>
  </r>
  <r>
    <s v="T1307"/>
    <n v="1307"/>
    <n v="22"/>
    <n v="1"/>
    <n v="2024"/>
    <x v="24"/>
    <s v="C146"/>
    <n v="57"/>
    <s v="Female"/>
    <s v="USA"/>
    <x v="1"/>
    <s v="Fitness Tracker"/>
    <n v="257.55"/>
    <n v="3"/>
    <n v="5"/>
    <s v="PayPal"/>
    <n v="5"/>
    <n v="9"/>
    <n v="734.01750000000004"/>
  </r>
  <r>
    <s v="T1308"/>
    <n v="1308"/>
    <n v="25"/>
    <n v="8"/>
    <n v="2024"/>
    <x v="192"/>
    <s v="C129"/>
    <n v="21"/>
    <s v="Female"/>
    <s v="Kenya"/>
    <x v="2"/>
    <s v="Microwave"/>
    <n v="486.26"/>
    <n v="3"/>
    <n v="20"/>
    <s v="Card"/>
    <n v="1"/>
    <n v="6"/>
    <n v="1167.0239999999999"/>
  </r>
  <r>
    <s v="T1309"/>
    <n v="1309"/>
    <n v="6"/>
    <n v="6"/>
    <n v="2024"/>
    <x v="193"/>
    <s v="C196"/>
    <n v="42"/>
    <s v="Female"/>
    <s v="UK"/>
    <x v="0"/>
    <s v="Headphones"/>
    <n v="66.56"/>
    <n v="1"/>
    <n v="5"/>
    <s v="PayPal"/>
    <n v="2"/>
    <n v="4"/>
    <n v="63.231999999999999"/>
  </r>
  <r>
    <s v="T1310"/>
    <n v="1310"/>
    <n v="7"/>
    <n v="2"/>
    <n v="2024"/>
    <x v="194"/>
    <s v="C113"/>
    <n v="20"/>
    <s v="Male"/>
    <s v="Kenya"/>
    <x v="3"/>
    <s v="Blender"/>
    <n v="581.14"/>
    <n v="3"/>
    <n v="10"/>
    <s v="PayPal"/>
    <n v="5"/>
    <n v="5"/>
    <n v="1569.078"/>
  </r>
  <r>
    <s v="T1311"/>
    <n v="1311"/>
    <n v="17"/>
    <n v="8"/>
    <n v="2024"/>
    <x v="195"/>
    <s v="C169"/>
    <n v="49"/>
    <s v="Female"/>
    <s v="Ghana"/>
    <x v="2"/>
    <s v="Laptop"/>
    <n v="660.77"/>
    <n v="4"/>
    <n v="10"/>
    <s v="Card"/>
    <m/>
    <n v="6"/>
    <n v="2378.7719999999999"/>
  </r>
  <r>
    <s v="T1312"/>
    <n v="1312"/>
    <n v="30"/>
    <n v="12"/>
    <n v="2024"/>
    <x v="196"/>
    <s v="C198"/>
    <n v="20"/>
    <s v="Female"/>
    <s v="USA"/>
    <x v="1"/>
    <s v="Smartphone"/>
    <n v="288.74"/>
    <n v="4"/>
    <n v="15"/>
    <s v="Card"/>
    <n v="1"/>
    <n v="3"/>
    <n v="981.71600000000001"/>
  </r>
  <r>
    <s v="T1313"/>
    <n v="1313"/>
    <n v="20"/>
    <n v="2"/>
    <n v="2024"/>
    <x v="34"/>
    <s v="C164"/>
    <n v="44"/>
    <s v="Female"/>
    <s v="Kenya"/>
    <x v="1"/>
    <s v="T-shirt"/>
    <n v="1157.55"/>
    <n v="2"/>
    <n v="5"/>
    <s v="Mobile_Money"/>
    <n v="3"/>
    <n v="8"/>
    <n v="2199.3449999999998"/>
  </r>
  <r>
    <s v="T1314"/>
    <n v="1314"/>
    <n v="20"/>
    <n v="9"/>
    <n v="2024"/>
    <x v="53"/>
    <s v="C123"/>
    <n v="46"/>
    <s v="Male"/>
    <s v="Kenya"/>
    <x v="2"/>
    <s v="Backpack"/>
    <n v="1093.1600000000001"/>
    <n v="2"/>
    <n v="15"/>
    <s v="Mobile_Money"/>
    <n v="4"/>
    <n v="4"/>
    <n v="1858.3720000000001"/>
  </r>
  <r>
    <s v="T1315"/>
    <n v="1315"/>
    <n v="9"/>
    <n v="10"/>
    <n v="2024"/>
    <x v="112"/>
    <s v="C114"/>
    <n v="49"/>
    <s v="Female"/>
    <s v="Ghana"/>
    <x v="1"/>
    <s v="Laptop"/>
    <n v="872.13"/>
    <n v="1"/>
    <n v="5"/>
    <s v="Mobile_Money"/>
    <n v="4"/>
    <n v="8"/>
    <n v="828.52350000000001"/>
  </r>
  <r>
    <s v="T1316"/>
    <n v="1316"/>
    <n v="27"/>
    <n v="1"/>
    <n v="2024"/>
    <x v="197"/>
    <s v="C160"/>
    <m/>
    <s v="Male"/>
    <s v=""/>
    <x v="4"/>
    <s v="Watch"/>
    <n v="649.4"/>
    <n v="2"/>
    <n v="15"/>
    <s v="PayPal"/>
    <m/>
    <n v="3"/>
    <n v="1103.98"/>
  </r>
  <r>
    <s v="T1317"/>
    <n v="1317"/>
    <n v="13"/>
    <n v="8"/>
    <n v="2024"/>
    <x v="198"/>
    <s v="C127"/>
    <n v="38"/>
    <s v="Female"/>
    <s v="UK"/>
    <x v="4"/>
    <s v="Blender"/>
    <n v="1046.56"/>
    <n v="4"/>
    <n v="10"/>
    <s v="Card"/>
    <n v="2"/>
    <n v="7"/>
    <n v="3767.616"/>
  </r>
  <r>
    <s v="T1318"/>
    <n v="1318"/>
    <n v="3"/>
    <n v="10"/>
    <n v="2024"/>
    <x v="21"/>
    <s v="C199"/>
    <n v="22"/>
    <s v="Male"/>
    <s v="Nigeria"/>
    <x v="4"/>
    <s v="Watch"/>
    <n v="174.17"/>
    <n v="1"/>
    <n v="20"/>
    <s v="Bank_Transfer"/>
    <n v="5"/>
    <n v="9"/>
    <n v="139.33600000000001"/>
  </r>
  <r>
    <s v="T1319"/>
    <n v="1319"/>
    <n v="12"/>
    <n v="10"/>
    <n v="2024"/>
    <x v="135"/>
    <s v="C122"/>
    <n v="35"/>
    <s v="Male"/>
    <s v="USA"/>
    <x v="0"/>
    <s v="T-shirt"/>
    <n v="952.8"/>
    <n v="1"/>
    <n v="15"/>
    <s v="PayPal"/>
    <n v="4"/>
    <n v="4"/>
    <n v="809.88"/>
  </r>
  <r>
    <s v="T1320"/>
    <n v="1320"/>
    <n v="6"/>
    <n v="4"/>
    <n v="2024"/>
    <x v="166"/>
    <s v="C198"/>
    <n v="45"/>
    <s v="Female"/>
    <s v="Kenya"/>
    <x v="2"/>
    <s v="Headphones"/>
    <n v="167.29"/>
    <n v="2"/>
    <n v="5"/>
    <s v="Bank_Transfer"/>
    <n v="3"/>
    <n v="8"/>
    <n v="317.851"/>
  </r>
  <r>
    <s v="T1321"/>
    <n v="1321"/>
    <n v="10"/>
    <n v="10"/>
    <n v="2024"/>
    <x v="130"/>
    <s v="C112"/>
    <n v="59"/>
    <s v="Female"/>
    <s v="Ghana"/>
    <x v="0"/>
    <s v="Fitness Tracker"/>
    <n v="957.17"/>
    <n v="4"/>
    <n v="5"/>
    <s v="Card"/>
    <m/>
    <n v="3"/>
    <n v="3637.2460000000001"/>
  </r>
  <r>
    <s v="T1322"/>
    <n v="1322"/>
    <n v="12"/>
    <n v="11"/>
    <n v="2024"/>
    <x v="199"/>
    <s v="C150"/>
    <n v="39"/>
    <s v="Male"/>
    <s v="Ghana"/>
    <x v="1"/>
    <s v="Fitness Tracker"/>
    <n v="345.41"/>
    <n v="1"/>
    <n v="10"/>
    <s v="PayPal"/>
    <n v="3"/>
    <n v="7"/>
    <n v="310.86900000000003"/>
  </r>
  <r>
    <s v="T1323"/>
    <n v="1323"/>
    <n v="30"/>
    <n v="10"/>
    <n v="2024"/>
    <x v="70"/>
    <s v="C134"/>
    <n v="38"/>
    <s v="Female"/>
    <s v="UK"/>
    <x v="0"/>
    <s v="Watch"/>
    <n v="1054.97"/>
    <n v="4"/>
    <n v="5"/>
    <s v="Bank_Transfer"/>
    <n v="2"/>
    <n v="3"/>
    <n v="4008.886"/>
  </r>
  <r>
    <s v="T1324"/>
    <n v="1324"/>
    <n v="26"/>
    <n v="5"/>
    <n v="2024"/>
    <x v="170"/>
    <s v="C134"/>
    <n v="23"/>
    <s v="Male"/>
    <s v="Nigeria"/>
    <x v="1"/>
    <s v="Microwave"/>
    <n v="1133.97"/>
    <n v="4"/>
    <n v="0"/>
    <s v="Bank_Transfer"/>
    <n v="2"/>
    <n v="7"/>
    <n v="4535.88"/>
  </r>
  <r>
    <s v="T1325"/>
    <n v="1325"/>
    <n v="4"/>
    <n v="1"/>
    <n v="2024"/>
    <x v="200"/>
    <s v="C143"/>
    <n v="18"/>
    <s v="Male"/>
    <s v="UK"/>
    <x v="1"/>
    <s v="Headphones"/>
    <n v="195.58"/>
    <n v="4"/>
    <n v="20"/>
    <s v="Mobile_Money"/>
    <n v="1"/>
    <n v="6"/>
    <n v="625.85599999999999"/>
  </r>
  <r>
    <s v="T1326"/>
    <n v="1326"/>
    <n v="4"/>
    <n v="2"/>
    <n v="2024"/>
    <x v="54"/>
    <s v="C116"/>
    <n v="22"/>
    <s v="Male"/>
    <s v="Kenya"/>
    <x v="3"/>
    <s v="Fitness Tracker"/>
    <n v="565.96"/>
    <n v="2"/>
    <n v="15"/>
    <s v="Mobile_Money"/>
    <n v="4"/>
    <n v="2"/>
    <n v="962.13199999999995"/>
  </r>
  <r>
    <s v="T1327"/>
    <n v="1327"/>
    <n v="10"/>
    <n v="7"/>
    <n v="2024"/>
    <x v="20"/>
    <s v="C190"/>
    <n v="58"/>
    <s v="Male"/>
    <s v="UK"/>
    <x v="4"/>
    <s v="Headphones"/>
    <n v="1177.57"/>
    <n v="3"/>
    <n v="20"/>
    <s v="Mobile_Money"/>
    <n v="1"/>
    <n v="3"/>
    <n v="2826.1680000000001"/>
  </r>
  <r>
    <s v="T1328"/>
    <n v="1328"/>
    <n v="18"/>
    <n v="2"/>
    <n v="2024"/>
    <x v="28"/>
    <s v="C101"/>
    <n v="29"/>
    <s v="Male"/>
    <s v="Ghana"/>
    <x v="1"/>
    <s v="Laptop"/>
    <n v="590.41999999999996"/>
    <n v="3"/>
    <n v="10"/>
    <s v="PayPal"/>
    <n v="3"/>
    <n v="6"/>
    <n v="1594.134"/>
  </r>
  <r>
    <s v="T1329"/>
    <n v="1329"/>
    <n v="17"/>
    <n v="1"/>
    <n v="2024"/>
    <x v="201"/>
    <s v="C168"/>
    <n v="43"/>
    <s v="Female"/>
    <s v="Ghana"/>
    <x v="3"/>
    <s v="Headphones"/>
    <n v="1038.99"/>
    <n v="1"/>
    <n v="15"/>
    <s v="Card"/>
    <n v="5"/>
    <n v="4"/>
    <n v="883.14149999999995"/>
  </r>
  <r>
    <s v="T1330"/>
    <n v="1330"/>
    <n v="20"/>
    <n v="6"/>
    <n v="2024"/>
    <x v="104"/>
    <s v="C178"/>
    <n v="51"/>
    <s v="Male"/>
    <s v="USA"/>
    <x v="4"/>
    <s v="Sneakers"/>
    <n v="714.7"/>
    <n v="4"/>
    <n v="15"/>
    <s v="Card"/>
    <n v="5"/>
    <n v="6"/>
    <n v="2429.98"/>
  </r>
  <r>
    <s v="T1331"/>
    <n v="1331"/>
    <n v="7"/>
    <n v="8"/>
    <n v="2024"/>
    <x v="153"/>
    <s v="C105"/>
    <n v="31"/>
    <s v="Male"/>
    <s v="USA"/>
    <x v="1"/>
    <s v="T-shirt"/>
    <n v="462.89"/>
    <n v="2"/>
    <n v="0"/>
    <s v="Mobile_Money"/>
    <n v="2"/>
    <n v="1"/>
    <n v="925.78"/>
  </r>
  <r>
    <s v="T1332"/>
    <n v="1332"/>
    <n v="6"/>
    <n v="6"/>
    <n v="2024"/>
    <x v="193"/>
    <s v="C156"/>
    <n v="43"/>
    <s v="Female"/>
    <s v="Kenya"/>
    <x v="1"/>
    <s v="Fitness Tracker"/>
    <n v="357.22"/>
    <n v="4"/>
    <n v="10"/>
    <s v="Mobile_Money"/>
    <n v="5"/>
    <n v="1"/>
    <n v="1285.992"/>
  </r>
  <r>
    <s v="T1333"/>
    <n v="1333"/>
    <n v="15"/>
    <n v="2"/>
    <n v="2024"/>
    <x v="202"/>
    <s v="C141"/>
    <n v="44"/>
    <s v="Male"/>
    <s v="Nigeria"/>
    <x v="0"/>
    <s v="Headphones"/>
    <n v="259.8"/>
    <n v="4"/>
    <n v="5"/>
    <s v="Mobile_Money"/>
    <n v="5"/>
    <n v="3"/>
    <n v="987.24"/>
  </r>
  <r>
    <s v="T1334"/>
    <n v="1334"/>
    <n v="6"/>
    <n v="1"/>
    <n v="2024"/>
    <x v="203"/>
    <s v="C130"/>
    <n v="26"/>
    <s v="Female"/>
    <s v="UK"/>
    <x v="0"/>
    <s v="Watch"/>
    <n v="918.92"/>
    <n v="2"/>
    <n v="0"/>
    <s v="Bank_Transfer"/>
    <n v="5"/>
    <n v="8"/>
    <n v="1837.84"/>
  </r>
  <r>
    <s v="T1335"/>
    <n v="1335"/>
    <n v="8"/>
    <n v="4"/>
    <n v="2024"/>
    <x v="103"/>
    <s v="C180"/>
    <n v="43"/>
    <s v="Female"/>
    <s v="Kenya"/>
    <x v="4"/>
    <s v="Smartphone"/>
    <n v="476.12"/>
    <n v="3"/>
    <n v="0"/>
    <s v="Mobile_Money"/>
    <n v="3"/>
    <n v="8"/>
    <n v="1428.36"/>
  </r>
  <r>
    <s v="T1336"/>
    <n v="1336"/>
    <n v="20"/>
    <n v="8"/>
    <n v="2024"/>
    <x v="141"/>
    <s v="C132"/>
    <n v="39"/>
    <s v="Female"/>
    <s v="USA"/>
    <x v="1"/>
    <s v="Sneakers"/>
    <n v="623.30999999999995"/>
    <n v="4"/>
    <n v="20"/>
    <s v="Bank_Transfer"/>
    <n v="5"/>
    <n v="4"/>
    <n v="1994.5920000000001"/>
  </r>
  <r>
    <s v="T1337"/>
    <n v="1337"/>
    <n v="6"/>
    <n v="2"/>
    <n v="2024"/>
    <x v="182"/>
    <s v="C154"/>
    <n v="47"/>
    <s v="Male"/>
    <s v="UK"/>
    <x v="2"/>
    <s v="Sneakers"/>
    <n v="600.94000000000005"/>
    <n v="4"/>
    <n v="20"/>
    <s v="Card"/>
    <m/>
    <n v="6"/>
    <n v="1923.008"/>
  </r>
  <r>
    <s v="T1338"/>
    <n v="1338"/>
    <n v="6"/>
    <n v="10"/>
    <n v="2024"/>
    <x v="77"/>
    <s v="C192"/>
    <n v="34"/>
    <s v="Male"/>
    <s v="USA"/>
    <x v="0"/>
    <s v="Microwave"/>
    <n v="701.19"/>
    <n v="3"/>
    <n v="20"/>
    <s v="PayPal"/>
    <n v="5"/>
    <n v="8"/>
    <n v="1682.856"/>
  </r>
  <r>
    <s v="T1339"/>
    <n v="1339"/>
    <n v="14"/>
    <n v="12"/>
    <n v="2024"/>
    <x v="1"/>
    <s v="C120"/>
    <n v="43"/>
    <s v="Male"/>
    <s v="UK"/>
    <x v="4"/>
    <s v="Headphones"/>
    <n v="1041.3800000000001"/>
    <n v="2"/>
    <n v="0"/>
    <s v="PayPal"/>
    <n v="5"/>
    <n v="7"/>
    <n v="2082.7600000000002"/>
  </r>
  <r>
    <s v="T1340"/>
    <n v="1340"/>
    <n v="28"/>
    <n v="10"/>
    <n v="2024"/>
    <x v="204"/>
    <s v="C162"/>
    <n v="53"/>
    <s v="Female"/>
    <s v="Nigeria"/>
    <x v="1"/>
    <s v="Microwave"/>
    <n v="1177.27"/>
    <n v="1"/>
    <n v="5"/>
    <s v="PayPal"/>
    <n v="1"/>
    <n v="7"/>
    <n v="1118.4065000000001"/>
  </r>
  <r>
    <s v="T1341"/>
    <n v="1341"/>
    <n v="29"/>
    <n v="6"/>
    <n v="2024"/>
    <x v="205"/>
    <s v="C147"/>
    <n v="18"/>
    <s v="Male"/>
    <s v="Kenya"/>
    <x v="1"/>
    <s v="Microwave"/>
    <n v="500.95"/>
    <n v="3"/>
    <n v="15"/>
    <s v="PayPal"/>
    <n v="3"/>
    <n v="4"/>
    <n v="1277.4224999999999"/>
  </r>
  <r>
    <s v="T1342"/>
    <n v="1342"/>
    <n v="4"/>
    <n v="4"/>
    <n v="2024"/>
    <x v="206"/>
    <s v="C156"/>
    <n v="25"/>
    <s v="Female"/>
    <s v="UK"/>
    <x v="2"/>
    <s v="Smartphone"/>
    <n v="996.47"/>
    <n v="1"/>
    <n v="20"/>
    <s v="Bank_Transfer"/>
    <n v="2"/>
    <n v="9"/>
    <n v="797.17600000000004"/>
  </r>
  <r>
    <s v="T1343"/>
    <n v="1343"/>
    <n v="8"/>
    <n v="4"/>
    <n v="2024"/>
    <x v="103"/>
    <s v="C180"/>
    <n v="52"/>
    <s v="Male"/>
    <s v="Ghana"/>
    <x v="4"/>
    <s v="Laptop"/>
    <n v="922.14"/>
    <n v="1"/>
    <n v="5"/>
    <s v="Bank_Transfer"/>
    <n v="1"/>
    <n v="6"/>
    <n v="876.03300000000002"/>
  </r>
  <r>
    <s v="T1344"/>
    <n v="1344"/>
    <n v="6"/>
    <n v="7"/>
    <n v="2024"/>
    <x v="31"/>
    <s v="C187"/>
    <n v="32"/>
    <s v="Female"/>
    <s v="Ghana"/>
    <x v="1"/>
    <s v="Headphones"/>
    <n v="696.76"/>
    <n v="3"/>
    <n v="10"/>
    <s v="Mobile_Money"/>
    <n v="4"/>
    <n v="3"/>
    <n v="1881.252"/>
  </r>
  <r>
    <s v="T1345"/>
    <n v="1345"/>
    <n v="25"/>
    <n v="4"/>
    <n v="2024"/>
    <x v="140"/>
    <s v="C163"/>
    <n v="39"/>
    <s v="Male"/>
    <s v="UK"/>
    <x v="0"/>
    <s v="Blender"/>
    <n v="1148.1400000000001"/>
    <n v="4"/>
    <n v="20"/>
    <s v="Bank_Transfer"/>
    <n v="3"/>
    <n v="5"/>
    <n v="3674.0479999999998"/>
  </r>
  <r>
    <s v="T1346"/>
    <n v="1346"/>
    <n v="9"/>
    <n v="7"/>
    <n v="2024"/>
    <x v="63"/>
    <s v="C173"/>
    <n v="31"/>
    <s v="Male"/>
    <s v="UK"/>
    <x v="2"/>
    <s v="Fitness Tracker"/>
    <n v="256.56"/>
    <n v="1"/>
    <n v="15"/>
    <s v="Mobile_Money"/>
    <m/>
    <n v="5"/>
    <n v="218.07599999999999"/>
  </r>
  <r>
    <s v="T1347"/>
    <n v="1347"/>
    <n v="9"/>
    <n v="9"/>
    <n v="2024"/>
    <x v="25"/>
    <s v="C189"/>
    <n v="43"/>
    <s v="Male"/>
    <s v="UK"/>
    <x v="4"/>
    <s v="Microwave"/>
    <n v="148.93"/>
    <n v="1"/>
    <n v="10"/>
    <s v="Mobile_Money"/>
    <n v="3"/>
    <n v="5"/>
    <n v="134.03700000000001"/>
  </r>
  <r>
    <s v="T1348"/>
    <n v="1348"/>
    <n v="9"/>
    <n v="6"/>
    <n v="2024"/>
    <x v="22"/>
    <s v="C175"/>
    <n v="45"/>
    <s v="Female"/>
    <s v="Ghana"/>
    <x v="2"/>
    <s v="T-shirt"/>
    <n v="1027.68"/>
    <n v="2"/>
    <n v="10"/>
    <s v="PayPal"/>
    <n v="4"/>
    <n v="8"/>
    <n v="1849.8240000000001"/>
  </r>
  <r>
    <s v="T1349"/>
    <n v="1349"/>
    <n v="12"/>
    <n v="9"/>
    <n v="2024"/>
    <x v="207"/>
    <s v="C116"/>
    <n v="40"/>
    <s v="Female"/>
    <s v="Ghana"/>
    <x v="0"/>
    <s v="Backpack"/>
    <n v="538.20000000000005"/>
    <n v="4"/>
    <n v="15"/>
    <s v="Bank_Transfer"/>
    <n v="4"/>
    <n v="9"/>
    <n v="1829.88"/>
  </r>
  <r>
    <s v="T1350"/>
    <n v="1350"/>
    <n v="18"/>
    <n v="11"/>
    <n v="2024"/>
    <x v="208"/>
    <s v="C143"/>
    <n v="31"/>
    <s v="Male"/>
    <s v="UK"/>
    <x v="4"/>
    <s v="T-shirt"/>
    <n v="1019.42"/>
    <n v="1"/>
    <n v="20"/>
    <s v="Bank_Transfer"/>
    <n v="4"/>
    <n v="9"/>
    <n v="815.53599999999994"/>
  </r>
  <r>
    <s v="T1351"/>
    <n v="1351"/>
    <n v="7"/>
    <n v="5"/>
    <n v="2024"/>
    <x v="136"/>
    <s v="C108"/>
    <n v="41"/>
    <s v="Male"/>
    <s v="USA"/>
    <x v="2"/>
    <s v="Smartphone"/>
    <n v="1073.8499999999999"/>
    <n v="2"/>
    <n v="0"/>
    <s v="Mobile_Money"/>
    <n v="2"/>
    <n v="6"/>
    <n v="2147.6999999999998"/>
  </r>
  <r>
    <s v="T1352"/>
    <n v="1352"/>
    <n v="18"/>
    <n v="1"/>
    <n v="2024"/>
    <x v="209"/>
    <s v="C106"/>
    <n v="19"/>
    <s v="Female"/>
    <s v="USA"/>
    <x v="3"/>
    <s v="Smartphone"/>
    <n v="93.7"/>
    <n v="4"/>
    <n v="15"/>
    <s v="Mobile_Money"/>
    <n v="5"/>
    <n v="6"/>
    <n v="318.58"/>
  </r>
  <r>
    <s v="T1353"/>
    <n v="1353"/>
    <n v="7"/>
    <n v="10"/>
    <n v="2024"/>
    <x v="210"/>
    <s v="C148"/>
    <n v="43"/>
    <s v="Female"/>
    <s v="Nigeria"/>
    <x v="0"/>
    <s v="Watch"/>
    <n v="1062.49"/>
    <n v="3"/>
    <n v="15"/>
    <s v="Card"/>
    <n v="3"/>
    <n v="9"/>
    <n v="2709.3494999999998"/>
  </r>
  <r>
    <s v="T1354"/>
    <n v="1354"/>
    <n v="10"/>
    <n v="8"/>
    <n v="2024"/>
    <x v="211"/>
    <s v="C144"/>
    <n v="31"/>
    <s v="Female"/>
    <s v="Kenya"/>
    <x v="0"/>
    <s v="Laptop"/>
    <n v="549.02"/>
    <n v="3"/>
    <n v="15"/>
    <s v="Card"/>
    <n v="5"/>
    <n v="4"/>
    <n v="1400.001"/>
  </r>
  <r>
    <s v="T1355"/>
    <n v="1355"/>
    <n v="23"/>
    <n v="2"/>
    <n v="2024"/>
    <x v="59"/>
    <s v="C188"/>
    <n v="24"/>
    <s v="Male"/>
    <s v="USA"/>
    <x v="0"/>
    <s v="Fitness Tracker"/>
    <n v="622.30999999999995"/>
    <n v="2"/>
    <n v="10"/>
    <s v="Mobile_Money"/>
    <n v="5"/>
    <n v="6"/>
    <n v="1120.1579999999999"/>
  </r>
  <r>
    <s v="T1356"/>
    <n v="1356"/>
    <n v="27"/>
    <n v="2"/>
    <n v="2024"/>
    <x v="212"/>
    <s v="C108"/>
    <m/>
    <s v="Female"/>
    <s v=""/>
    <x v="3"/>
    <s v="Microwave"/>
    <n v="759.38"/>
    <n v="3"/>
    <n v="5"/>
    <s v="Card"/>
    <m/>
    <n v="4"/>
    <n v="2164.2330000000002"/>
  </r>
  <r>
    <s v="T1357"/>
    <n v="1357"/>
    <n v="18"/>
    <n v="11"/>
    <n v="2024"/>
    <x v="208"/>
    <s v="C162"/>
    <n v="40"/>
    <s v="Male"/>
    <s v="USA"/>
    <x v="3"/>
    <s v="T-shirt"/>
    <n v="1113.1300000000001"/>
    <n v="1"/>
    <n v="0"/>
    <s v="Card"/>
    <n v="4"/>
    <n v="1"/>
    <n v="1113.1300000000001"/>
  </r>
  <r>
    <s v="T1358"/>
    <n v="1358"/>
    <n v="25"/>
    <n v="12"/>
    <n v="2024"/>
    <x v="12"/>
    <s v="C104"/>
    <n v="35"/>
    <s v="Female"/>
    <s v="Nigeria"/>
    <x v="1"/>
    <s v="Backpack"/>
    <n v="42.56"/>
    <n v="4"/>
    <n v="20"/>
    <s v="Mobile_Money"/>
    <n v="2"/>
    <n v="7"/>
    <n v="136.19200000000001"/>
  </r>
  <r>
    <s v="T1359"/>
    <n v="1359"/>
    <n v="22"/>
    <n v="6"/>
    <n v="2024"/>
    <x v="213"/>
    <s v="C170"/>
    <n v="55"/>
    <s v="Male"/>
    <s v="Nigeria"/>
    <x v="2"/>
    <s v="Smartphone"/>
    <n v="582.67999999999995"/>
    <n v="1"/>
    <n v="20"/>
    <s v="Mobile_Money"/>
    <m/>
    <n v="6"/>
    <n v="466.14400000000001"/>
  </r>
  <r>
    <s v="T1360"/>
    <n v="1360"/>
    <n v="6"/>
    <n v="10"/>
    <n v="2024"/>
    <x v="77"/>
    <s v="C187"/>
    <n v="52"/>
    <s v="Female"/>
    <s v="Kenya"/>
    <x v="1"/>
    <s v="Smartphone"/>
    <n v="831.51"/>
    <n v="1"/>
    <n v="5"/>
    <s v="Bank_Transfer"/>
    <n v="1"/>
    <n v="9"/>
    <n v="789.93449999999996"/>
  </r>
  <r>
    <s v="T1361"/>
    <n v="1361"/>
    <n v="23"/>
    <n v="4"/>
    <n v="2024"/>
    <x v="214"/>
    <s v="C115"/>
    <m/>
    <s v="Female"/>
    <s v=""/>
    <x v="2"/>
    <s v="Laptop"/>
    <n v="872.79"/>
    <n v="3"/>
    <n v="15"/>
    <s v="Mobile_Money"/>
    <m/>
    <n v="7"/>
    <n v="2225.6145000000001"/>
  </r>
  <r>
    <s v="T1362"/>
    <n v="1362"/>
    <n v="14"/>
    <n v="10"/>
    <n v="2024"/>
    <x v="215"/>
    <s v="C185"/>
    <n v="42"/>
    <s v="Female"/>
    <s v="Ghana"/>
    <x v="3"/>
    <s v="Backpack"/>
    <n v="837.19"/>
    <n v="1"/>
    <n v="0"/>
    <s v="Mobile_Money"/>
    <n v="5"/>
    <n v="7"/>
    <n v="837.19"/>
  </r>
  <r>
    <s v="T1363"/>
    <n v="1363"/>
    <n v="7"/>
    <n v="12"/>
    <n v="2024"/>
    <x v="216"/>
    <s v="C128"/>
    <n v="54"/>
    <s v="Female"/>
    <s v="Ghana"/>
    <x v="3"/>
    <s v="Backpack"/>
    <n v="178.63"/>
    <n v="3"/>
    <n v="20"/>
    <s v="PayPal"/>
    <n v="2"/>
    <n v="2"/>
    <n v="428.71199999999999"/>
  </r>
  <r>
    <s v="T1364"/>
    <n v="1364"/>
    <n v="30"/>
    <n v="5"/>
    <n v="2024"/>
    <x v="175"/>
    <s v="C111"/>
    <n v="45"/>
    <s v="Female"/>
    <s v="UK"/>
    <x v="1"/>
    <s v="Laptop"/>
    <n v="373.29"/>
    <n v="4"/>
    <n v="20"/>
    <s v="Bank_Transfer"/>
    <n v="4"/>
    <n v="9"/>
    <n v="1194.528"/>
  </r>
  <r>
    <s v="T1365"/>
    <n v="1365"/>
    <n v="6"/>
    <n v="5"/>
    <n v="2024"/>
    <x v="217"/>
    <s v="C158"/>
    <n v="27"/>
    <s v="Male"/>
    <s v="Ghana"/>
    <x v="4"/>
    <s v="Smartphone"/>
    <n v="443.28"/>
    <n v="4"/>
    <n v="15"/>
    <s v="Bank_Transfer"/>
    <n v="1"/>
    <n v="9"/>
    <n v="1507.152"/>
  </r>
  <r>
    <s v="T1366"/>
    <n v="1366"/>
    <n v="3"/>
    <n v="6"/>
    <n v="2024"/>
    <x v="218"/>
    <s v="C197"/>
    <n v="56"/>
    <s v="Female"/>
    <s v="Kenya"/>
    <x v="1"/>
    <s v="Fitness Tracker"/>
    <n v="969.24"/>
    <n v="1"/>
    <n v="5"/>
    <s v="Bank_Transfer"/>
    <n v="4"/>
    <n v="6"/>
    <n v="920.77800000000002"/>
  </r>
  <r>
    <s v="T1367"/>
    <n v="1367"/>
    <n v="29"/>
    <n v="9"/>
    <n v="2024"/>
    <x v="219"/>
    <s v="C185"/>
    <n v="34"/>
    <s v="Female"/>
    <s v="Kenya"/>
    <x v="2"/>
    <s v="Headphones"/>
    <n v="348.94"/>
    <n v="2"/>
    <n v="0"/>
    <s v="PayPal"/>
    <n v="1"/>
    <n v="3"/>
    <n v="697.88"/>
  </r>
  <r>
    <s v="T1368"/>
    <n v="1368"/>
    <n v="13"/>
    <n v="4"/>
    <n v="2024"/>
    <x v="185"/>
    <s v="C140"/>
    <n v="56"/>
    <s v="Female"/>
    <s v="Ghana"/>
    <x v="1"/>
    <s v="Headphones"/>
    <n v="268.63"/>
    <n v="3"/>
    <n v="5"/>
    <s v="Mobile_Money"/>
    <m/>
    <n v="1"/>
    <n v="765.59550000000002"/>
  </r>
  <r>
    <s v="T1369"/>
    <n v="1369"/>
    <n v="25"/>
    <n v="10"/>
    <n v="2024"/>
    <x v="220"/>
    <s v="C128"/>
    <n v="39"/>
    <s v="Male"/>
    <s v="Ghana"/>
    <x v="0"/>
    <s v="Laptop"/>
    <n v="1149.79"/>
    <n v="3"/>
    <n v="5"/>
    <s v="Bank_Transfer"/>
    <n v="5"/>
    <n v="4"/>
    <n v="3276.9014999999999"/>
  </r>
  <r>
    <s v="T1370"/>
    <n v="1370"/>
    <n v="2"/>
    <n v="9"/>
    <n v="2024"/>
    <x v="221"/>
    <s v="C185"/>
    <n v="43"/>
    <s v="Female"/>
    <s v="UK"/>
    <x v="2"/>
    <s v="Backpack"/>
    <n v="30.46"/>
    <n v="1"/>
    <n v="0"/>
    <s v="Bank_Transfer"/>
    <n v="1"/>
    <n v="3"/>
    <n v="30.46"/>
  </r>
  <r>
    <s v="T1371"/>
    <n v="1371"/>
    <n v="24"/>
    <n v="6"/>
    <n v="2024"/>
    <x v="191"/>
    <s v="C145"/>
    <m/>
    <s v="Male"/>
    <s v=""/>
    <x v="2"/>
    <s v="Microwave"/>
    <n v="1197.43"/>
    <n v="3"/>
    <n v="0"/>
    <s v="Card"/>
    <m/>
    <n v="1"/>
    <n v="3592.29"/>
  </r>
  <r>
    <s v="T1372"/>
    <n v="1372"/>
    <n v="8"/>
    <n v="2"/>
    <n v="2024"/>
    <x v="173"/>
    <s v="C171"/>
    <n v="34"/>
    <s v="Female"/>
    <s v="UK"/>
    <x v="4"/>
    <s v="Laptop"/>
    <n v="818.65"/>
    <n v="3"/>
    <n v="20"/>
    <s v="Bank_Transfer"/>
    <n v="1"/>
    <n v="3"/>
    <n v="1964.76"/>
  </r>
  <r>
    <s v="T1373"/>
    <n v="1373"/>
    <n v="18"/>
    <n v="6"/>
    <n v="2024"/>
    <x v="30"/>
    <s v="C108"/>
    <n v="30"/>
    <s v="Female"/>
    <s v="UK"/>
    <x v="3"/>
    <s v="Fitness Tracker"/>
    <n v="997.59"/>
    <n v="2"/>
    <n v="20"/>
    <s v="Mobile_Money"/>
    <n v="2"/>
    <n v="4"/>
    <n v="1596.144"/>
  </r>
  <r>
    <s v="T1374"/>
    <n v="1374"/>
    <n v="3"/>
    <n v="9"/>
    <n v="2024"/>
    <x v="157"/>
    <s v="C152"/>
    <m/>
    <s v="Male"/>
    <s v=""/>
    <x v="2"/>
    <s v="Laptop"/>
    <n v="367.65"/>
    <n v="2"/>
    <n v="0"/>
    <s v="Mobile_Money"/>
    <m/>
    <n v="8"/>
    <n v="735.3"/>
  </r>
  <r>
    <s v="T1375"/>
    <n v="1375"/>
    <n v="26"/>
    <n v="1"/>
    <n v="2024"/>
    <x v="222"/>
    <s v="C197"/>
    <n v="42"/>
    <s v="Female"/>
    <s v="Nigeria"/>
    <x v="3"/>
    <s v="Sneakers"/>
    <n v="36.89"/>
    <n v="1"/>
    <n v="10"/>
    <s v="Card"/>
    <n v="2"/>
    <n v="9"/>
    <n v="33.201000000000001"/>
  </r>
  <r>
    <s v="T1376"/>
    <n v="1376"/>
    <n v="20"/>
    <n v="12"/>
    <n v="2024"/>
    <x v="223"/>
    <s v="C126"/>
    <n v="21"/>
    <s v="Male"/>
    <s v="Nigeria"/>
    <x v="1"/>
    <s v="T-shirt"/>
    <n v="890.69"/>
    <n v="2"/>
    <n v="20"/>
    <s v="Bank_Transfer"/>
    <n v="5"/>
    <n v="3"/>
    <n v="1425.104"/>
  </r>
  <r>
    <s v="T1377"/>
    <n v="1377"/>
    <n v="1"/>
    <n v="11"/>
    <n v="2024"/>
    <x v="224"/>
    <s v="C151"/>
    <m/>
    <s v="Male"/>
    <s v=""/>
    <x v="0"/>
    <s v="Backpack"/>
    <n v="1004.29"/>
    <n v="1"/>
    <n v="10"/>
    <s v="Bank_Transfer"/>
    <m/>
    <n v="6"/>
    <n v="903.86099999999999"/>
  </r>
  <r>
    <s v="T1378"/>
    <n v="1378"/>
    <n v="13"/>
    <n v="1"/>
    <n v="2024"/>
    <x v="125"/>
    <s v="C100"/>
    <n v="20"/>
    <s v="Female"/>
    <s v="Ghana"/>
    <x v="4"/>
    <s v="Watch"/>
    <n v="893.76"/>
    <n v="4"/>
    <n v="0"/>
    <s v="Bank_Transfer"/>
    <m/>
    <n v="5"/>
    <n v="3575.04"/>
  </r>
  <r>
    <s v="T1379"/>
    <n v="1379"/>
    <n v="11"/>
    <n v="11"/>
    <n v="2024"/>
    <x v="45"/>
    <s v="C105"/>
    <n v="58"/>
    <s v="Male"/>
    <s v="Nigeria"/>
    <x v="3"/>
    <s v="Watch"/>
    <n v="188.56"/>
    <n v="1"/>
    <n v="20"/>
    <s v="PayPal"/>
    <m/>
    <n v="6"/>
    <n v="150.84800000000001"/>
  </r>
  <r>
    <s v="T1380"/>
    <n v="1380"/>
    <n v="8"/>
    <n v="11"/>
    <n v="2024"/>
    <x v="225"/>
    <s v="C131"/>
    <n v="35"/>
    <s v="Female"/>
    <s v="Ghana"/>
    <x v="2"/>
    <s v="Backpack"/>
    <n v="909.04"/>
    <n v="4"/>
    <n v="5"/>
    <s v="Bank_Transfer"/>
    <n v="3"/>
    <n v="4"/>
    <n v="3454.3519999999999"/>
  </r>
  <r>
    <s v="T1381"/>
    <n v="1381"/>
    <n v="5"/>
    <n v="2"/>
    <n v="2024"/>
    <x v="124"/>
    <s v="C142"/>
    <n v="53"/>
    <s v="Female"/>
    <s v="Ghana"/>
    <x v="3"/>
    <s v="Fitness Tracker"/>
    <n v="927.33"/>
    <n v="1"/>
    <n v="0"/>
    <s v="Mobile_Money"/>
    <n v="5"/>
    <n v="6"/>
    <n v="927.33"/>
  </r>
  <r>
    <s v="T1382"/>
    <n v="1382"/>
    <n v="21"/>
    <n v="6"/>
    <n v="2024"/>
    <x v="226"/>
    <s v="C180"/>
    <n v="39"/>
    <s v="Male"/>
    <s v="Ghana"/>
    <x v="2"/>
    <s v="Sneakers"/>
    <n v="797.08"/>
    <n v="3"/>
    <n v="15"/>
    <s v="Mobile_Money"/>
    <m/>
    <n v="7"/>
    <n v="2032.5540000000001"/>
  </r>
  <r>
    <s v="T1383"/>
    <n v="1383"/>
    <n v="20"/>
    <n v="1"/>
    <n v="2024"/>
    <x v="227"/>
    <s v="C155"/>
    <n v="51"/>
    <s v="Male"/>
    <s v="USA"/>
    <x v="3"/>
    <s v="Sneakers"/>
    <n v="924.02"/>
    <n v="2"/>
    <n v="10"/>
    <s v="PayPal"/>
    <n v="1"/>
    <n v="9"/>
    <n v="1663.2360000000001"/>
  </r>
  <r>
    <s v="T1384"/>
    <n v="1384"/>
    <n v="16"/>
    <n v="11"/>
    <n v="2024"/>
    <x v="228"/>
    <s v="C197"/>
    <n v="25"/>
    <s v="Male"/>
    <s v="Ghana"/>
    <x v="2"/>
    <s v="Smartphone"/>
    <n v="1018.19"/>
    <n v="4"/>
    <n v="0"/>
    <s v="PayPal"/>
    <n v="1"/>
    <n v="7"/>
    <n v="4072.76"/>
  </r>
  <r>
    <s v="T1385"/>
    <n v="1385"/>
    <n v="20"/>
    <n v="9"/>
    <n v="2024"/>
    <x v="53"/>
    <s v="C106"/>
    <n v="57"/>
    <s v="Male"/>
    <s v="USA"/>
    <x v="1"/>
    <s v="T-shirt"/>
    <n v="744.05"/>
    <n v="1"/>
    <n v="0"/>
    <s v="Bank_Transfer"/>
    <m/>
    <n v="6"/>
    <n v="744.05"/>
  </r>
  <r>
    <s v="T1386"/>
    <n v="1386"/>
    <n v="21"/>
    <n v="5"/>
    <n v="2024"/>
    <x v="229"/>
    <s v="C119"/>
    <n v="36"/>
    <s v="Female"/>
    <s v="UK"/>
    <x v="2"/>
    <s v="Headphones"/>
    <n v="124.55"/>
    <n v="2"/>
    <n v="20"/>
    <s v="Card"/>
    <n v="2"/>
    <n v="1"/>
    <n v="199.28"/>
  </r>
  <r>
    <s v="T1387"/>
    <n v="1387"/>
    <n v="22"/>
    <n v="5"/>
    <n v="2024"/>
    <x v="121"/>
    <s v="C139"/>
    <n v="59"/>
    <s v="Female"/>
    <s v="Nigeria"/>
    <x v="2"/>
    <s v="Blender"/>
    <n v="595.4"/>
    <n v="1"/>
    <n v="20"/>
    <s v="PayPal"/>
    <n v="5"/>
    <n v="2"/>
    <n v="476.32"/>
  </r>
  <r>
    <s v="T1388"/>
    <n v="1388"/>
    <n v="1"/>
    <n v="4"/>
    <n v="2024"/>
    <x v="52"/>
    <s v="C172"/>
    <m/>
    <s v="Male"/>
    <s v=""/>
    <x v="0"/>
    <s v="Fitness Tracker"/>
    <n v="111.63"/>
    <n v="2"/>
    <n v="20"/>
    <s v="PayPal"/>
    <m/>
    <n v="1"/>
    <n v="178.608"/>
  </r>
  <r>
    <s v="T1389"/>
    <n v="1389"/>
    <n v="19"/>
    <n v="12"/>
    <n v="2024"/>
    <x v="230"/>
    <s v="C121"/>
    <n v="54"/>
    <s v="Female"/>
    <s v="Nigeria"/>
    <x v="2"/>
    <s v="Blender"/>
    <n v="500.9"/>
    <n v="2"/>
    <n v="15"/>
    <s v="Bank_Transfer"/>
    <m/>
    <n v="9"/>
    <n v="851.53"/>
  </r>
  <r>
    <s v="T1390"/>
    <n v="1390"/>
    <n v="17"/>
    <n v="11"/>
    <n v="2024"/>
    <x v="231"/>
    <s v="C159"/>
    <n v="23"/>
    <s v="Female"/>
    <s v="Nigeria"/>
    <x v="0"/>
    <s v="Blender"/>
    <n v="500.39"/>
    <n v="1"/>
    <n v="20"/>
    <s v="Bank_Transfer"/>
    <n v="1"/>
    <n v="9"/>
    <n v="400.31200000000001"/>
  </r>
  <r>
    <s v="T1391"/>
    <n v="1391"/>
    <n v="14"/>
    <n v="10"/>
    <n v="2024"/>
    <x v="215"/>
    <s v="C177"/>
    <n v="43"/>
    <s v="Female"/>
    <s v="Nigeria"/>
    <x v="4"/>
    <s v="Backpack"/>
    <n v="97.89"/>
    <n v="4"/>
    <n v="0"/>
    <s v="PayPal"/>
    <m/>
    <n v="7"/>
    <n v="391.56"/>
  </r>
  <r>
    <s v="T1392"/>
    <n v="1392"/>
    <n v="2"/>
    <n v="8"/>
    <n v="2024"/>
    <x v="8"/>
    <s v="C191"/>
    <n v="51"/>
    <s v="Female"/>
    <s v="Nigeria"/>
    <x v="0"/>
    <s v="Watch"/>
    <n v="431.61"/>
    <n v="4"/>
    <n v="20"/>
    <s v="Card"/>
    <n v="5"/>
    <n v="2"/>
    <n v="1381.152"/>
  </r>
  <r>
    <s v="T1393"/>
    <n v="1393"/>
    <n v="7"/>
    <n v="12"/>
    <n v="2024"/>
    <x v="216"/>
    <s v="C134"/>
    <n v="23"/>
    <s v="Male"/>
    <s v="Nigeria"/>
    <x v="1"/>
    <s v="Watch"/>
    <n v="150.97999999999999"/>
    <n v="3"/>
    <n v="5"/>
    <s v="PayPal"/>
    <m/>
    <n v="6"/>
    <n v="430.29300000000001"/>
  </r>
  <r>
    <s v="T1394"/>
    <n v="1394"/>
    <n v="20"/>
    <n v="2"/>
    <n v="2024"/>
    <x v="34"/>
    <s v="C143"/>
    <m/>
    <s v="Male"/>
    <s v=""/>
    <x v="0"/>
    <s v="Headphones"/>
    <n v="973.72"/>
    <n v="2"/>
    <n v="20"/>
    <s v="Bank_Transfer"/>
    <m/>
    <n v="4"/>
    <n v="1557.952"/>
  </r>
  <r>
    <s v="T1395"/>
    <n v="1395"/>
    <n v="1"/>
    <n v="6"/>
    <n v="2024"/>
    <x v="186"/>
    <s v="C154"/>
    <n v="50"/>
    <s v="Female"/>
    <s v="Ghana"/>
    <x v="4"/>
    <s v="Backpack"/>
    <n v="1138.27"/>
    <n v="3"/>
    <n v="15"/>
    <s v="Bank_Transfer"/>
    <m/>
    <n v="1"/>
    <n v="2902.5884999999998"/>
  </r>
  <r>
    <s v="T1396"/>
    <n v="1396"/>
    <n v="4"/>
    <n v="7"/>
    <n v="2024"/>
    <x v="232"/>
    <s v="C125"/>
    <n v="39"/>
    <s v="Male"/>
    <s v="Kenya"/>
    <x v="1"/>
    <s v="Blender"/>
    <n v="105.33"/>
    <n v="3"/>
    <n v="5"/>
    <s v="PayPal"/>
    <m/>
    <n v="1"/>
    <n v="300.19049999999999"/>
  </r>
  <r>
    <s v="T1397"/>
    <n v="1397"/>
    <n v="3"/>
    <n v="3"/>
    <n v="2024"/>
    <x v="88"/>
    <s v="C190"/>
    <n v="38"/>
    <s v="Male"/>
    <s v="USA"/>
    <x v="3"/>
    <s v="Microwave"/>
    <n v="1147.04"/>
    <n v="1"/>
    <n v="0"/>
    <s v="Card"/>
    <n v="5"/>
    <n v="5"/>
    <n v="1147.04"/>
  </r>
  <r>
    <s v="T1398"/>
    <n v="1398"/>
    <n v="8"/>
    <n v="7"/>
    <n v="2024"/>
    <x v="32"/>
    <s v="C140"/>
    <n v="23"/>
    <s v="Male"/>
    <s v="Kenya"/>
    <x v="3"/>
    <s v="Watch"/>
    <n v="636.64"/>
    <n v="1"/>
    <n v="0"/>
    <s v="PayPal"/>
    <m/>
    <n v="2"/>
    <n v="636.64"/>
  </r>
  <r>
    <s v="T1399"/>
    <n v="1399"/>
    <n v="4"/>
    <n v="5"/>
    <n v="2024"/>
    <x v="233"/>
    <s v="C149"/>
    <n v="23"/>
    <s v="Female"/>
    <s v="Kenya"/>
    <x v="0"/>
    <s v="Fitness Tracker"/>
    <n v="373.49"/>
    <n v="1"/>
    <n v="10"/>
    <s v="PayPal"/>
    <n v="5"/>
    <n v="4"/>
    <n v="336.14100000000002"/>
  </r>
  <r>
    <s v="T1400"/>
    <n v="1400"/>
    <n v="29"/>
    <n v="5"/>
    <n v="2024"/>
    <x v="15"/>
    <s v="C107"/>
    <n v="21"/>
    <s v="Female"/>
    <s v="Ghana"/>
    <x v="0"/>
    <s v="Fitness Tracker"/>
    <n v="110.7"/>
    <n v="2"/>
    <n v="5"/>
    <s v="Bank_Transfer"/>
    <n v="3"/>
    <n v="1"/>
    <n v="210.33"/>
  </r>
  <r>
    <s v="T1401"/>
    <n v="1401"/>
    <n v="9"/>
    <n v="11"/>
    <n v="2024"/>
    <x v="23"/>
    <s v="C167"/>
    <n v="47"/>
    <s v="Female"/>
    <s v="Ghana"/>
    <x v="4"/>
    <s v="Smartphone"/>
    <n v="610.74"/>
    <n v="1"/>
    <n v="10"/>
    <s v="Card"/>
    <n v="5"/>
    <n v="4"/>
    <n v="549.66600000000005"/>
  </r>
  <r>
    <s v="T1402"/>
    <n v="1402"/>
    <n v="27"/>
    <n v="2"/>
    <n v="2024"/>
    <x v="212"/>
    <s v="C105"/>
    <n v="28"/>
    <s v="Male"/>
    <s v="Ghana"/>
    <x v="4"/>
    <s v="Laptop"/>
    <n v="957.53"/>
    <n v="1"/>
    <n v="5"/>
    <s v="Mobile_Money"/>
    <n v="1"/>
    <n v="6"/>
    <n v="909.65350000000001"/>
  </r>
  <r>
    <s v="T1403"/>
    <n v="1403"/>
    <n v="7"/>
    <n v="12"/>
    <n v="2024"/>
    <x v="216"/>
    <s v="C112"/>
    <n v="47"/>
    <s v="Female"/>
    <s v="Nigeria"/>
    <x v="2"/>
    <s v="Microwave"/>
    <n v="854.36"/>
    <n v="2"/>
    <n v="5"/>
    <s v="Card"/>
    <n v="5"/>
    <n v="4"/>
    <n v="1623.2840000000001"/>
  </r>
  <r>
    <s v="T1404"/>
    <n v="1404"/>
    <n v="31"/>
    <n v="10"/>
    <n v="2024"/>
    <x v="234"/>
    <s v="C110"/>
    <n v="48"/>
    <s v="Female"/>
    <s v="UK"/>
    <x v="4"/>
    <s v="Watch"/>
    <n v="79.27"/>
    <n v="2"/>
    <n v="15"/>
    <s v="PayPal"/>
    <n v="3"/>
    <n v="1"/>
    <n v="134.75899999999999"/>
  </r>
  <r>
    <s v="T1405"/>
    <n v="1405"/>
    <n v="28"/>
    <n v="6"/>
    <n v="2024"/>
    <x v="149"/>
    <s v="C111"/>
    <n v="41"/>
    <s v="Male"/>
    <s v="Nigeria"/>
    <x v="2"/>
    <s v="Sneakers"/>
    <n v="106.02"/>
    <n v="4"/>
    <n v="10"/>
    <s v="PayPal"/>
    <n v="4"/>
    <n v="7"/>
    <n v="381.67200000000003"/>
  </r>
  <r>
    <s v="T1406"/>
    <n v="1406"/>
    <n v="18"/>
    <n v="6"/>
    <n v="2024"/>
    <x v="30"/>
    <s v="C108"/>
    <m/>
    <s v="Female"/>
    <s v=""/>
    <x v="1"/>
    <s v="Watch"/>
    <n v="495.39"/>
    <n v="1"/>
    <n v="15"/>
    <s v="PayPal"/>
    <m/>
    <n v="2"/>
    <n v="421.08150000000001"/>
  </r>
  <r>
    <s v="T1407"/>
    <n v="1407"/>
    <n v="21"/>
    <n v="11"/>
    <n v="2024"/>
    <x v="168"/>
    <s v="C161"/>
    <n v="20"/>
    <s v="Female"/>
    <s v="UK"/>
    <x v="0"/>
    <s v="Smartphone"/>
    <n v="368.44"/>
    <n v="1"/>
    <n v="5"/>
    <s v="Card"/>
    <n v="5"/>
    <n v="9"/>
    <n v="350.01799999999997"/>
  </r>
  <r>
    <s v="T1408"/>
    <n v="1408"/>
    <n v="27"/>
    <n v="9"/>
    <n v="2024"/>
    <x v="2"/>
    <s v="C162"/>
    <m/>
    <s v="Male"/>
    <s v=""/>
    <x v="1"/>
    <s v="Fitness Tracker"/>
    <n v="294.20999999999998"/>
    <n v="1"/>
    <n v="0"/>
    <s v="Bank_Transfer"/>
    <m/>
    <n v="3"/>
    <n v="294.20999999999998"/>
  </r>
  <r>
    <s v="T1409"/>
    <n v="1409"/>
    <n v="23"/>
    <n v="2"/>
    <n v="2024"/>
    <x v="59"/>
    <s v="C134"/>
    <n v="57"/>
    <s v="Male"/>
    <s v="Kenya"/>
    <x v="4"/>
    <s v="Blender"/>
    <n v="351.59"/>
    <n v="4"/>
    <n v="5"/>
    <s v="PayPal"/>
    <n v="2"/>
    <n v="8"/>
    <n v="1336.0419999999999"/>
  </r>
  <r>
    <s v="T1410"/>
    <n v="1410"/>
    <n v="10"/>
    <n v="4"/>
    <n v="2024"/>
    <x v="107"/>
    <s v="C176"/>
    <n v="54"/>
    <s v="Male"/>
    <s v="UK"/>
    <x v="1"/>
    <s v="Sneakers"/>
    <n v="968.11"/>
    <n v="1"/>
    <n v="15"/>
    <s v="PayPal"/>
    <n v="1"/>
    <n v="8"/>
    <n v="822.89350000000002"/>
  </r>
  <r>
    <s v="T1411"/>
    <n v="1411"/>
    <n v="20"/>
    <n v="9"/>
    <n v="2024"/>
    <x v="53"/>
    <s v="C146"/>
    <n v="53"/>
    <s v="Female"/>
    <s v="UK"/>
    <x v="1"/>
    <s v="Backpack"/>
    <n v="1116.49"/>
    <n v="4"/>
    <n v="10"/>
    <s v="Card"/>
    <n v="1"/>
    <n v="3"/>
    <n v="4019.364"/>
  </r>
  <r>
    <s v="T1412"/>
    <n v="1412"/>
    <n v="22"/>
    <n v="2"/>
    <n v="2024"/>
    <x v="50"/>
    <s v="C191"/>
    <n v="41"/>
    <s v="Female"/>
    <s v="Nigeria"/>
    <x v="1"/>
    <s v="T-shirt"/>
    <n v="498.02"/>
    <n v="3"/>
    <n v="10"/>
    <s v="Mobile_Money"/>
    <n v="2"/>
    <n v="4"/>
    <n v="1344.654"/>
  </r>
  <r>
    <s v="T1413"/>
    <n v="1413"/>
    <n v="29"/>
    <n v="2"/>
    <n v="2024"/>
    <x v="179"/>
    <s v="C188"/>
    <n v="48"/>
    <s v="Female"/>
    <s v="Nigeria"/>
    <x v="4"/>
    <s v="Blender"/>
    <n v="1089.21"/>
    <n v="4"/>
    <n v="15"/>
    <s v="Mobile_Money"/>
    <n v="2"/>
    <n v="2"/>
    <n v="3703.3139999999999"/>
  </r>
  <r>
    <s v="T1414"/>
    <n v="1414"/>
    <n v="17"/>
    <n v="4"/>
    <n v="2024"/>
    <x v="134"/>
    <s v="C121"/>
    <n v="23"/>
    <s v="Male"/>
    <s v="Kenya"/>
    <x v="1"/>
    <s v="T-shirt"/>
    <n v="399.36"/>
    <n v="3"/>
    <n v="10"/>
    <s v="Bank_Transfer"/>
    <n v="5"/>
    <n v="4"/>
    <n v="1078.2719999999999"/>
  </r>
  <r>
    <s v="T1415"/>
    <n v="1415"/>
    <n v="5"/>
    <n v="1"/>
    <n v="2024"/>
    <x v="109"/>
    <s v="C180"/>
    <n v="19"/>
    <s v="Male"/>
    <s v="Ghana"/>
    <x v="2"/>
    <s v="Microwave"/>
    <n v="582.20000000000005"/>
    <n v="1"/>
    <n v="20"/>
    <s v="Bank_Transfer"/>
    <n v="2"/>
    <n v="9"/>
    <n v="465.76"/>
  </r>
  <r>
    <s v="T1416"/>
    <n v="1416"/>
    <n v="12"/>
    <n v="4"/>
    <n v="2024"/>
    <x v="0"/>
    <s v="C135"/>
    <n v="37"/>
    <s v="Female"/>
    <s v="UK"/>
    <x v="4"/>
    <s v="Laptop"/>
    <n v="286.70999999999998"/>
    <n v="3"/>
    <n v="0"/>
    <s v="PayPal"/>
    <n v="4"/>
    <n v="2"/>
    <n v="860.13"/>
  </r>
  <r>
    <s v="T1417"/>
    <n v="1417"/>
    <n v="14"/>
    <n v="7"/>
    <n v="2024"/>
    <x v="235"/>
    <s v="C120"/>
    <n v="45"/>
    <s v="Female"/>
    <s v="Nigeria"/>
    <x v="1"/>
    <s v="Sneakers"/>
    <n v="775.76"/>
    <n v="4"/>
    <n v="0"/>
    <s v="Card"/>
    <m/>
    <n v="3"/>
    <n v="3103.04"/>
  </r>
  <r>
    <s v="T1418"/>
    <n v="1418"/>
    <n v="18"/>
    <n v="9"/>
    <n v="2024"/>
    <x v="236"/>
    <s v="C152"/>
    <n v="28"/>
    <s v="Male"/>
    <s v="Kenya"/>
    <x v="4"/>
    <s v="Headphones"/>
    <n v="1175.2"/>
    <n v="2"/>
    <n v="0"/>
    <s v="PayPal"/>
    <m/>
    <n v="4"/>
    <n v="2350.4"/>
  </r>
  <r>
    <s v="T1419"/>
    <n v="1419"/>
    <n v="30"/>
    <n v="12"/>
    <n v="2024"/>
    <x v="196"/>
    <s v="C187"/>
    <n v="21"/>
    <s v="Male"/>
    <s v="Nigeria"/>
    <x v="3"/>
    <s v="Sneakers"/>
    <n v="732.12"/>
    <n v="3"/>
    <n v="10"/>
    <s v="Bank_Transfer"/>
    <n v="3"/>
    <n v="5"/>
    <n v="1976.7239999999999"/>
  </r>
  <r>
    <s v="T1420"/>
    <n v="1420"/>
    <n v="15"/>
    <n v="12"/>
    <n v="2024"/>
    <x v="237"/>
    <s v="C150"/>
    <n v="32"/>
    <s v="Male"/>
    <s v="UK"/>
    <x v="2"/>
    <s v="Watch"/>
    <n v="442.22"/>
    <n v="3"/>
    <n v="10"/>
    <s v="Card"/>
    <n v="2"/>
    <n v="1"/>
    <n v="1193.9939999999999"/>
  </r>
  <r>
    <s v="T1421"/>
    <n v="1421"/>
    <n v="16"/>
    <n v="2"/>
    <n v="2024"/>
    <x v="238"/>
    <s v="C119"/>
    <n v="23"/>
    <s v="Male"/>
    <s v="UK"/>
    <x v="1"/>
    <s v="Fitness Tracker"/>
    <n v="784.42"/>
    <n v="1"/>
    <n v="5"/>
    <s v="Card"/>
    <n v="2"/>
    <n v="7"/>
    <n v="745.19899999999996"/>
  </r>
  <r>
    <s v="T1422"/>
    <n v="1422"/>
    <n v="20"/>
    <n v="12"/>
    <n v="2024"/>
    <x v="223"/>
    <s v="C187"/>
    <n v="47"/>
    <s v="Female"/>
    <s v="USA"/>
    <x v="3"/>
    <s v="Watch"/>
    <n v="165.05"/>
    <n v="4"/>
    <n v="5"/>
    <s v="Bank_Transfer"/>
    <n v="4"/>
    <n v="7"/>
    <n v="627.19000000000005"/>
  </r>
  <r>
    <s v="T1423"/>
    <n v="1423"/>
    <n v="6"/>
    <n v="11"/>
    <n v="2024"/>
    <x v="239"/>
    <s v="C119"/>
    <n v="55"/>
    <s v="Male"/>
    <s v="Ghana"/>
    <x v="3"/>
    <s v="Watch"/>
    <n v="1068.6199999999999"/>
    <n v="3"/>
    <n v="0"/>
    <s v="Mobile_Money"/>
    <n v="1"/>
    <n v="9"/>
    <n v="3205.86"/>
  </r>
  <r>
    <s v="T1424"/>
    <n v="1424"/>
    <n v="3"/>
    <n v="11"/>
    <n v="2024"/>
    <x v="172"/>
    <s v="C173"/>
    <n v="19"/>
    <s v="Female"/>
    <s v="USA"/>
    <x v="4"/>
    <s v="Microwave"/>
    <n v="613.64"/>
    <n v="3"/>
    <n v="20"/>
    <s v="Mobile_Money"/>
    <n v="1"/>
    <n v="4"/>
    <n v="1472.7360000000001"/>
  </r>
  <r>
    <s v="T1425"/>
    <n v="1425"/>
    <n v="23"/>
    <n v="5"/>
    <n v="2024"/>
    <x v="165"/>
    <s v="C115"/>
    <n v="32"/>
    <s v="Female"/>
    <s v="Kenya"/>
    <x v="3"/>
    <s v="Blender"/>
    <n v="550.23"/>
    <n v="3"/>
    <n v="5"/>
    <s v="Card"/>
    <m/>
    <n v="6"/>
    <n v="1568.1555000000001"/>
  </r>
  <r>
    <s v="T1426"/>
    <n v="1426"/>
    <n v="25"/>
    <n v="9"/>
    <n v="2024"/>
    <x v="240"/>
    <s v="C191"/>
    <n v="28"/>
    <s v="Female"/>
    <s v="Nigeria"/>
    <x v="2"/>
    <s v="Headphones"/>
    <n v="711.32"/>
    <n v="3"/>
    <n v="5"/>
    <s v="PayPal"/>
    <m/>
    <n v="2"/>
    <n v="2027.2619999999999"/>
  </r>
  <r>
    <s v="T1427"/>
    <n v="1427"/>
    <n v="3"/>
    <n v="5"/>
    <n v="2024"/>
    <x v="167"/>
    <s v="C191"/>
    <n v="25"/>
    <s v="Male"/>
    <s v="Kenya"/>
    <x v="2"/>
    <s v="Headphones"/>
    <n v="757.24"/>
    <n v="2"/>
    <n v="10"/>
    <s v="Mobile_Money"/>
    <n v="5"/>
    <n v="4"/>
    <n v="1363.0319999999999"/>
  </r>
  <r>
    <s v="T1428"/>
    <n v="1428"/>
    <n v="15"/>
    <n v="4"/>
    <n v="2024"/>
    <x v="60"/>
    <s v="C129"/>
    <n v="43"/>
    <s v="Male"/>
    <s v="UK"/>
    <x v="0"/>
    <s v="Watch"/>
    <n v="104.7"/>
    <n v="4"/>
    <n v="20"/>
    <s v="PayPal"/>
    <n v="4"/>
    <n v="2"/>
    <n v="335.04"/>
  </r>
  <r>
    <s v="T1429"/>
    <n v="1429"/>
    <n v="6"/>
    <n v="6"/>
    <n v="2024"/>
    <x v="193"/>
    <s v="C121"/>
    <n v="22"/>
    <s v="Male"/>
    <s v="USA"/>
    <x v="2"/>
    <s v="T-shirt"/>
    <n v="825.49"/>
    <n v="1"/>
    <n v="0"/>
    <s v="Mobile_Money"/>
    <n v="3"/>
    <n v="5"/>
    <n v="825.49"/>
  </r>
  <r>
    <s v="T1430"/>
    <n v="1430"/>
    <n v="26"/>
    <n v="5"/>
    <n v="2024"/>
    <x v="170"/>
    <s v="C169"/>
    <n v="23"/>
    <s v="Male"/>
    <s v="USA"/>
    <x v="3"/>
    <s v="Microwave"/>
    <n v="305.48"/>
    <n v="1"/>
    <n v="5"/>
    <s v="Mobile_Money"/>
    <n v="3"/>
    <n v="7"/>
    <n v="290.20600000000002"/>
  </r>
  <r>
    <s v="T1431"/>
    <n v="1431"/>
    <n v="24"/>
    <n v="5"/>
    <n v="2024"/>
    <x v="241"/>
    <s v="C186"/>
    <n v="43"/>
    <s v="Female"/>
    <s v="USA"/>
    <x v="2"/>
    <s v="Watch"/>
    <n v="862.46"/>
    <n v="2"/>
    <n v="20"/>
    <s v="PayPal"/>
    <n v="4"/>
    <n v="1"/>
    <n v="1379.9359999999999"/>
  </r>
  <r>
    <s v="T1432"/>
    <n v="1432"/>
    <n v="29"/>
    <n v="4"/>
    <n v="2024"/>
    <x v="183"/>
    <s v="C121"/>
    <n v="21"/>
    <s v="Male"/>
    <s v="Kenya"/>
    <x v="4"/>
    <s v="Laptop"/>
    <n v="990.59"/>
    <n v="4"/>
    <n v="20"/>
    <s v="Bank_Transfer"/>
    <n v="3"/>
    <n v="7"/>
    <n v="3169.8879999999999"/>
  </r>
  <r>
    <s v="T1433"/>
    <n v="1433"/>
    <n v="14"/>
    <n v="11"/>
    <n v="2024"/>
    <x v="242"/>
    <s v="C193"/>
    <n v="36"/>
    <s v="Male"/>
    <s v="UK"/>
    <x v="0"/>
    <s v="Fitness Tracker"/>
    <n v="968.67"/>
    <n v="3"/>
    <n v="0"/>
    <s v="Mobile_Money"/>
    <n v="1"/>
    <n v="6"/>
    <n v="2906.01"/>
  </r>
  <r>
    <s v="T1434"/>
    <n v="1434"/>
    <n v="1"/>
    <n v="10"/>
    <n v="2024"/>
    <x v="243"/>
    <s v="C134"/>
    <n v="37"/>
    <s v="Female"/>
    <s v="Nigeria"/>
    <x v="3"/>
    <s v="Blender"/>
    <n v="671.95"/>
    <n v="2"/>
    <n v="20"/>
    <s v="Mobile_Money"/>
    <n v="3"/>
    <n v="6"/>
    <n v="1075.1199999999999"/>
  </r>
  <r>
    <s v="T1435"/>
    <n v="1435"/>
    <n v="1"/>
    <n v="4"/>
    <n v="2024"/>
    <x v="52"/>
    <s v="C106"/>
    <n v="50"/>
    <s v="Male"/>
    <s v="Nigeria"/>
    <x v="0"/>
    <s v="Backpack"/>
    <n v="633.79999999999995"/>
    <n v="4"/>
    <n v="20"/>
    <s v="PayPal"/>
    <n v="3"/>
    <n v="8"/>
    <n v="2028.16"/>
  </r>
  <r>
    <s v="T1436"/>
    <n v="1436"/>
    <n v="27"/>
    <n v="2"/>
    <n v="2024"/>
    <x v="212"/>
    <s v="C110"/>
    <n v="37"/>
    <s v="Female"/>
    <s v="Kenya"/>
    <x v="3"/>
    <s v="Laptop"/>
    <n v="188.59"/>
    <n v="3"/>
    <n v="20"/>
    <s v="Bank_Transfer"/>
    <n v="4"/>
    <n v="8"/>
    <n v="452.61599999999999"/>
  </r>
  <r>
    <s v="T1437"/>
    <n v="1437"/>
    <n v="11"/>
    <n v="12"/>
    <n v="2024"/>
    <x v="49"/>
    <s v="C108"/>
    <n v="29"/>
    <s v="Female"/>
    <s v="USA"/>
    <x v="4"/>
    <s v="T-shirt"/>
    <n v="934.91"/>
    <n v="2"/>
    <n v="5"/>
    <s v="Mobile_Money"/>
    <n v="4"/>
    <n v="6"/>
    <n v="1776.329"/>
  </r>
  <r>
    <s v="T1438"/>
    <n v="1438"/>
    <n v="16"/>
    <n v="8"/>
    <n v="2024"/>
    <x v="244"/>
    <s v="C188"/>
    <n v="18"/>
    <s v="Female"/>
    <s v="Ghana"/>
    <x v="0"/>
    <s v="Sneakers"/>
    <n v="340.26"/>
    <n v="4"/>
    <n v="0"/>
    <s v="Mobile_Money"/>
    <n v="3"/>
    <n v="3"/>
    <n v="1361.04"/>
  </r>
  <r>
    <s v="T1439"/>
    <n v="1439"/>
    <n v="26"/>
    <n v="4"/>
    <n v="2024"/>
    <x v="245"/>
    <s v="C174"/>
    <n v="43"/>
    <s v="Female"/>
    <s v="Kenya"/>
    <x v="1"/>
    <s v="Sneakers"/>
    <n v="606.1"/>
    <n v="1"/>
    <n v="20"/>
    <s v="Bank_Transfer"/>
    <n v="2"/>
    <n v="5"/>
    <n v="484.88"/>
  </r>
  <r>
    <s v="T1440"/>
    <n v="1440"/>
    <n v="13"/>
    <n v="11"/>
    <n v="2024"/>
    <x v="145"/>
    <s v="C189"/>
    <n v="31"/>
    <s v="Female"/>
    <s v="Kenya"/>
    <x v="3"/>
    <s v="Laptop"/>
    <n v="355.44"/>
    <n v="1"/>
    <n v="20"/>
    <s v="Mobile_Money"/>
    <n v="4"/>
    <n v="2"/>
    <n v="284.35199999999998"/>
  </r>
  <r>
    <s v="T1441"/>
    <n v="1441"/>
    <n v="5"/>
    <n v="10"/>
    <n v="2024"/>
    <x v="246"/>
    <s v="C146"/>
    <n v="55"/>
    <s v="Female"/>
    <s v="UK"/>
    <x v="1"/>
    <s v="Watch"/>
    <n v="177.92"/>
    <n v="4"/>
    <n v="5"/>
    <s v="Bank_Transfer"/>
    <n v="5"/>
    <n v="5"/>
    <n v="676.096"/>
  </r>
  <r>
    <s v="T1442"/>
    <n v="1442"/>
    <n v="6"/>
    <n v="5"/>
    <n v="2024"/>
    <x v="217"/>
    <s v="C174"/>
    <n v="54"/>
    <s v="Female"/>
    <s v="Nigeria"/>
    <x v="0"/>
    <s v="Backpack"/>
    <n v="762.88"/>
    <n v="1"/>
    <n v="0"/>
    <s v="Bank_Transfer"/>
    <n v="5"/>
    <n v="9"/>
    <n v="762.88"/>
  </r>
  <r>
    <s v="T1443"/>
    <n v="1443"/>
    <n v="8"/>
    <n v="5"/>
    <n v="2024"/>
    <x v="86"/>
    <s v="C140"/>
    <n v="28"/>
    <s v="Female"/>
    <s v="Kenya"/>
    <x v="1"/>
    <s v="Smartphone"/>
    <n v="84.11"/>
    <n v="4"/>
    <n v="10"/>
    <s v="PayPal"/>
    <n v="1"/>
    <n v="1"/>
    <n v="302.79599999999999"/>
  </r>
  <r>
    <s v="T1444"/>
    <n v="1444"/>
    <n v="27"/>
    <n v="2"/>
    <n v="2024"/>
    <x v="212"/>
    <s v="C136"/>
    <n v="53"/>
    <s v="Male"/>
    <s v="Kenya"/>
    <x v="1"/>
    <s v="Smartphone"/>
    <n v="903.4"/>
    <n v="3"/>
    <n v="5"/>
    <s v="Card"/>
    <n v="3"/>
    <n v="5"/>
    <n v="2574.69"/>
  </r>
  <r>
    <s v="T1445"/>
    <n v="1445"/>
    <n v="1"/>
    <n v="5"/>
    <n v="2024"/>
    <x v="7"/>
    <s v="C124"/>
    <n v="30"/>
    <s v="Male"/>
    <s v="USA"/>
    <x v="0"/>
    <s v="T-shirt"/>
    <n v="394.75"/>
    <n v="4"/>
    <n v="0"/>
    <s v="Bank_Transfer"/>
    <n v="2"/>
    <n v="6"/>
    <n v="1579"/>
  </r>
  <r>
    <s v="T1446"/>
    <n v="1446"/>
    <n v="1"/>
    <n v="1"/>
    <n v="2024"/>
    <x v="247"/>
    <s v="C171"/>
    <n v="20"/>
    <s v="Male"/>
    <s v="USA"/>
    <x v="4"/>
    <s v="Watch"/>
    <n v="20.16"/>
    <n v="3"/>
    <n v="20"/>
    <s v="PayPal"/>
    <n v="1"/>
    <n v="7"/>
    <n v="48.384"/>
  </r>
  <r>
    <s v="T1447"/>
    <n v="1447"/>
    <n v="26"/>
    <n v="8"/>
    <n v="2024"/>
    <x v="248"/>
    <s v="C166"/>
    <n v="50"/>
    <s v="Male"/>
    <s v="Ghana"/>
    <x v="1"/>
    <s v="Headphones"/>
    <n v="623.13"/>
    <n v="2"/>
    <n v="0"/>
    <s v="Card"/>
    <n v="3"/>
    <n v="9"/>
    <n v="1246.26"/>
  </r>
  <r>
    <s v="T1448"/>
    <n v="1448"/>
    <n v="16"/>
    <n v="10"/>
    <n v="2024"/>
    <x v="249"/>
    <s v="C140"/>
    <n v="23"/>
    <s v="Female"/>
    <s v="UK"/>
    <x v="1"/>
    <s v="Headphones"/>
    <n v="75.290000000000006"/>
    <n v="4"/>
    <n v="0"/>
    <s v="Mobile_Money"/>
    <n v="4"/>
    <n v="6"/>
    <n v="301.16000000000003"/>
  </r>
  <r>
    <s v="T1449"/>
    <n v="1449"/>
    <n v="5"/>
    <n v="4"/>
    <n v="2024"/>
    <x v="119"/>
    <s v="C160"/>
    <n v="27"/>
    <s v="Male"/>
    <s v="Ghana"/>
    <x v="4"/>
    <s v="Blender"/>
    <n v="345.88"/>
    <n v="2"/>
    <n v="0"/>
    <s v="Card"/>
    <n v="5"/>
    <n v="5"/>
    <n v="691.76"/>
  </r>
  <r>
    <s v="T1450"/>
    <n v="1450"/>
    <n v="5"/>
    <n v="5"/>
    <n v="2024"/>
    <x v="156"/>
    <s v="C180"/>
    <m/>
    <s v="Female"/>
    <s v=""/>
    <x v="1"/>
    <s v="Backpack"/>
    <n v="854.23"/>
    <n v="1"/>
    <n v="10"/>
    <s v="Bank_Transfer"/>
    <m/>
    <n v="7"/>
    <n v="768.80700000000002"/>
  </r>
  <r>
    <s v="T1451"/>
    <n v="1451"/>
    <n v="27"/>
    <n v="4"/>
    <n v="2024"/>
    <x v="250"/>
    <s v="C189"/>
    <n v="40"/>
    <s v="Male"/>
    <s v="Nigeria"/>
    <x v="1"/>
    <s v="Backpack"/>
    <n v="93.97"/>
    <n v="3"/>
    <n v="0"/>
    <s v="Bank_Transfer"/>
    <n v="2"/>
    <n v="1"/>
    <n v="281.91000000000003"/>
  </r>
  <r>
    <s v="T1452"/>
    <n v="1452"/>
    <n v="17"/>
    <n v="2"/>
    <n v="2024"/>
    <x v="99"/>
    <s v="C117"/>
    <n v="27"/>
    <s v="Male"/>
    <s v="USA"/>
    <x v="1"/>
    <s v="Sneakers"/>
    <n v="1010.42"/>
    <n v="4"/>
    <n v="10"/>
    <s v="Bank_Transfer"/>
    <m/>
    <n v="5"/>
    <n v="3637.5120000000002"/>
  </r>
  <r>
    <s v="T1453"/>
    <n v="1453"/>
    <n v="29"/>
    <n v="3"/>
    <n v="2024"/>
    <x v="44"/>
    <s v="C185"/>
    <n v="19"/>
    <s v="Male"/>
    <s v="UK"/>
    <x v="2"/>
    <s v="Microwave"/>
    <n v="24.51"/>
    <n v="2"/>
    <n v="20"/>
    <s v="Bank_Transfer"/>
    <n v="5"/>
    <n v="2"/>
    <n v="39.216000000000001"/>
  </r>
  <r>
    <s v="T1454"/>
    <n v="1454"/>
    <n v="24"/>
    <n v="8"/>
    <n v="2024"/>
    <x v="75"/>
    <s v="C111"/>
    <n v="30"/>
    <s v="Female"/>
    <s v="USA"/>
    <x v="4"/>
    <s v="T-shirt"/>
    <n v="311.25"/>
    <n v="3"/>
    <n v="10"/>
    <s v="Bank_Transfer"/>
    <m/>
    <n v="4"/>
    <n v="840.375"/>
  </r>
  <r>
    <s v="T1455"/>
    <n v="1455"/>
    <n v="28"/>
    <n v="9"/>
    <n v="2024"/>
    <x v="251"/>
    <s v="C157"/>
    <n v="57"/>
    <s v="Male"/>
    <s v="UK"/>
    <x v="1"/>
    <s v="Smartphone"/>
    <n v="894.27"/>
    <n v="3"/>
    <n v="20"/>
    <s v="PayPal"/>
    <n v="4"/>
    <n v="7"/>
    <n v="2146.248"/>
  </r>
  <r>
    <s v="T1456"/>
    <n v="1456"/>
    <n v="7"/>
    <n v="7"/>
    <n v="2024"/>
    <x v="5"/>
    <s v="C189"/>
    <n v="19"/>
    <s v="Female"/>
    <s v="UK"/>
    <x v="4"/>
    <s v="T-shirt"/>
    <n v="393.2"/>
    <n v="1"/>
    <n v="20"/>
    <s v="Bank_Transfer"/>
    <n v="3"/>
    <n v="5"/>
    <n v="314.56"/>
  </r>
  <r>
    <s v="T1457"/>
    <n v="1457"/>
    <n v="10"/>
    <n v="7"/>
    <n v="2024"/>
    <x v="20"/>
    <s v="C181"/>
    <n v="37"/>
    <s v="Female"/>
    <s v="UK"/>
    <x v="3"/>
    <s v="Headphones"/>
    <n v="140.22999999999999"/>
    <n v="1"/>
    <n v="10"/>
    <s v="PayPal"/>
    <n v="4"/>
    <n v="6"/>
    <n v="126.20699999999999"/>
  </r>
  <r>
    <s v="T1458"/>
    <n v="1458"/>
    <n v="9"/>
    <n v="3"/>
    <n v="2024"/>
    <x v="252"/>
    <s v="C106"/>
    <n v="18"/>
    <s v="Male"/>
    <s v="UK"/>
    <x v="3"/>
    <s v="Headphones"/>
    <n v="445.08"/>
    <n v="3"/>
    <n v="5"/>
    <s v="Mobile_Money"/>
    <m/>
    <n v="2"/>
    <n v="1268.4780000000001"/>
  </r>
  <r>
    <s v="T1459"/>
    <n v="1459"/>
    <n v="4"/>
    <n v="10"/>
    <n v="2024"/>
    <x v="253"/>
    <s v="C136"/>
    <n v="54"/>
    <s v="Male"/>
    <s v="UK"/>
    <x v="1"/>
    <s v="Laptop"/>
    <n v="339.06"/>
    <n v="3"/>
    <n v="15"/>
    <s v="Bank_Transfer"/>
    <n v="4"/>
    <n v="3"/>
    <n v="864.60299999999995"/>
  </r>
  <r>
    <s v="T1460"/>
    <n v="1460"/>
    <n v="14"/>
    <n v="12"/>
    <n v="2024"/>
    <x v="1"/>
    <s v="C198"/>
    <n v="26"/>
    <s v="Male"/>
    <s v="Nigeria"/>
    <x v="4"/>
    <s v="Blender"/>
    <n v="1014.4"/>
    <n v="4"/>
    <n v="0"/>
    <s v="Bank_Transfer"/>
    <n v="5"/>
    <n v="7"/>
    <n v="4057.6"/>
  </r>
  <r>
    <s v="T1461"/>
    <n v="1461"/>
    <n v="3"/>
    <n v="9"/>
    <n v="2024"/>
    <x v="157"/>
    <s v="C115"/>
    <n v="34"/>
    <s v="Female"/>
    <s v="Ghana"/>
    <x v="4"/>
    <s v="Backpack"/>
    <n v="389.75"/>
    <n v="3"/>
    <n v="15"/>
    <s v="Card"/>
    <n v="2"/>
    <n v="2"/>
    <n v="993.86249999999995"/>
  </r>
  <r>
    <s v="T1462"/>
    <n v="1462"/>
    <n v="16"/>
    <n v="3"/>
    <n v="2024"/>
    <x v="254"/>
    <s v="C171"/>
    <n v="26"/>
    <s v="Male"/>
    <s v="Kenya"/>
    <x v="4"/>
    <s v="Fitness Tracker"/>
    <n v="950.94"/>
    <n v="4"/>
    <n v="0"/>
    <s v="Mobile_Money"/>
    <n v="4"/>
    <n v="6"/>
    <n v="3803.76"/>
  </r>
  <r>
    <s v="T1463"/>
    <n v="1463"/>
    <n v="2"/>
    <n v="6"/>
    <n v="2024"/>
    <x v="255"/>
    <s v="C120"/>
    <n v="28"/>
    <s v="Female"/>
    <s v="Ghana"/>
    <x v="2"/>
    <s v="T-shirt"/>
    <n v="1072.4100000000001"/>
    <n v="3"/>
    <n v="0"/>
    <s v="Bank_Transfer"/>
    <n v="5"/>
    <n v="5"/>
    <n v="3217.23"/>
  </r>
  <r>
    <s v="T1464"/>
    <n v="1464"/>
    <n v="23"/>
    <n v="5"/>
    <n v="2024"/>
    <x v="165"/>
    <s v="C163"/>
    <n v="32"/>
    <s v="Female"/>
    <s v="UK"/>
    <x v="3"/>
    <s v="Headphones"/>
    <n v="531.9"/>
    <n v="1"/>
    <n v="20"/>
    <s v="Bank_Transfer"/>
    <n v="2"/>
    <n v="1"/>
    <n v="425.52"/>
  </r>
  <r>
    <s v="T1465"/>
    <n v="1465"/>
    <n v="26"/>
    <n v="3"/>
    <n v="2024"/>
    <x v="129"/>
    <s v="C131"/>
    <n v="41"/>
    <s v="Male"/>
    <s v="Nigeria"/>
    <x v="4"/>
    <s v="Microwave"/>
    <n v="1093.73"/>
    <n v="4"/>
    <n v="0"/>
    <s v="Mobile_Money"/>
    <n v="3"/>
    <n v="4"/>
    <n v="4374.92"/>
  </r>
  <r>
    <s v="T1466"/>
    <n v="1466"/>
    <n v="3"/>
    <n v="7"/>
    <n v="2024"/>
    <x v="256"/>
    <s v="C113"/>
    <n v="55"/>
    <s v="Male"/>
    <s v="USA"/>
    <x v="4"/>
    <s v="Sneakers"/>
    <n v="465.24"/>
    <n v="2"/>
    <n v="0"/>
    <s v="PayPal"/>
    <m/>
    <n v="2"/>
    <n v="930.48"/>
  </r>
  <r>
    <s v="T1467"/>
    <n v="1467"/>
    <n v="11"/>
    <n v="10"/>
    <n v="2024"/>
    <x v="257"/>
    <s v="C147"/>
    <n v="52"/>
    <s v="Female"/>
    <s v="Nigeria"/>
    <x v="2"/>
    <s v="Smartphone"/>
    <n v="1157.6099999999999"/>
    <n v="1"/>
    <n v="10"/>
    <s v="Bank_Transfer"/>
    <n v="3"/>
    <n v="4"/>
    <n v="1041.8489999999999"/>
  </r>
  <r>
    <s v="T1468"/>
    <n v="1468"/>
    <n v="7"/>
    <n v="8"/>
    <n v="2024"/>
    <x v="153"/>
    <s v="C156"/>
    <n v="47"/>
    <s v="Female"/>
    <s v="UK"/>
    <x v="2"/>
    <s v="Blender"/>
    <n v="125.36"/>
    <n v="4"/>
    <n v="15"/>
    <s v="Card"/>
    <n v="1"/>
    <n v="1"/>
    <n v="426.22399999999999"/>
  </r>
  <r>
    <s v="T1469"/>
    <n v="1469"/>
    <n v="9"/>
    <n v="3"/>
    <n v="2024"/>
    <x v="252"/>
    <s v="C195"/>
    <n v="48"/>
    <s v="Female"/>
    <s v="Nigeria"/>
    <x v="4"/>
    <s v="Microwave"/>
    <n v="830.68"/>
    <n v="4"/>
    <n v="10"/>
    <s v="Bank_Transfer"/>
    <n v="5"/>
    <n v="2"/>
    <n v="2990.4479999999999"/>
  </r>
  <r>
    <s v="T1470"/>
    <n v="1470"/>
    <n v="16"/>
    <n v="2"/>
    <n v="2024"/>
    <x v="238"/>
    <s v="C137"/>
    <n v="22"/>
    <s v="Male"/>
    <s v="Nigeria"/>
    <x v="0"/>
    <s v="Blender"/>
    <n v="602.70000000000005"/>
    <n v="2"/>
    <n v="0"/>
    <s v="Card"/>
    <n v="2"/>
    <n v="8"/>
    <n v="1205.4000000000001"/>
  </r>
  <r>
    <s v="T1471"/>
    <n v="1471"/>
    <n v="3"/>
    <n v="4"/>
    <n v="2024"/>
    <x v="258"/>
    <s v="C121"/>
    <n v="31"/>
    <s v="Female"/>
    <s v="UK"/>
    <x v="4"/>
    <s v="Laptop"/>
    <n v="477.43"/>
    <n v="4"/>
    <n v="20"/>
    <s v="Card"/>
    <n v="4"/>
    <n v="6"/>
    <n v="1527.7760000000001"/>
  </r>
  <r>
    <s v="T1472"/>
    <n v="1472"/>
    <n v="25"/>
    <n v="8"/>
    <n v="2024"/>
    <x v="192"/>
    <s v="C152"/>
    <n v="28"/>
    <s v="Male"/>
    <s v="Nigeria"/>
    <x v="4"/>
    <s v="Fitness Tracker"/>
    <n v="766.6"/>
    <n v="3"/>
    <n v="10"/>
    <s v="Bank_Transfer"/>
    <n v="3"/>
    <n v="2"/>
    <n v="2069.8200000000002"/>
  </r>
  <r>
    <s v="T1473"/>
    <n v="1473"/>
    <n v="22"/>
    <n v="7"/>
    <n v="2024"/>
    <x v="259"/>
    <s v="C125"/>
    <n v="26"/>
    <s v="Female"/>
    <s v="Kenya"/>
    <x v="2"/>
    <s v="Headphones"/>
    <n v="850.55"/>
    <n v="2"/>
    <n v="10"/>
    <s v="Bank_Transfer"/>
    <n v="2"/>
    <n v="6"/>
    <n v="1530.99"/>
  </r>
  <r>
    <s v="T1474"/>
    <n v="1474"/>
    <n v="5"/>
    <n v="8"/>
    <n v="2024"/>
    <x v="64"/>
    <s v="C152"/>
    <n v="51"/>
    <s v="Female"/>
    <s v="Kenya"/>
    <x v="2"/>
    <s v="Sneakers"/>
    <n v="25.15"/>
    <n v="1"/>
    <n v="5"/>
    <s v="Card"/>
    <n v="5"/>
    <n v="9"/>
    <n v="23.892499999999998"/>
  </r>
  <r>
    <s v="T1475"/>
    <n v="1475"/>
    <n v="6"/>
    <n v="12"/>
    <n v="2024"/>
    <x v="260"/>
    <s v="C160"/>
    <n v="29"/>
    <s v="Male"/>
    <s v="Nigeria"/>
    <x v="4"/>
    <s v="Microwave"/>
    <n v="217"/>
    <n v="1"/>
    <n v="0"/>
    <s v="Mobile_Money"/>
    <n v="1"/>
    <n v="7"/>
    <n v="217"/>
  </r>
  <r>
    <s v="T1476"/>
    <n v="1476"/>
    <n v="8"/>
    <n v="2"/>
    <n v="2024"/>
    <x v="173"/>
    <s v="C173"/>
    <n v="52"/>
    <s v="Female"/>
    <s v="USA"/>
    <x v="4"/>
    <s v="Blender"/>
    <n v="861.39"/>
    <n v="3"/>
    <n v="20"/>
    <s v="Mobile_Money"/>
    <n v="3"/>
    <n v="9"/>
    <n v="2067.3359999999998"/>
  </r>
  <r>
    <s v="T1477"/>
    <n v="1477"/>
    <n v="9"/>
    <n v="4"/>
    <n v="2024"/>
    <x v="11"/>
    <s v="C167"/>
    <n v="52"/>
    <s v="Male"/>
    <s v="UK"/>
    <x v="4"/>
    <s v="Backpack"/>
    <n v="806.33"/>
    <n v="1"/>
    <n v="10"/>
    <s v="Bank_Transfer"/>
    <m/>
    <n v="5"/>
    <n v="725.697"/>
  </r>
  <r>
    <s v="T1478"/>
    <n v="1478"/>
    <n v="15"/>
    <n v="10"/>
    <n v="2024"/>
    <x v="91"/>
    <s v="C185"/>
    <n v="18"/>
    <s v="Male"/>
    <s v="Kenya"/>
    <x v="2"/>
    <s v="Laptop"/>
    <n v="1159.94"/>
    <n v="4"/>
    <n v="10"/>
    <s v="PayPal"/>
    <n v="2"/>
    <n v="7"/>
    <n v="4175.7839999999997"/>
  </r>
  <r>
    <s v="T1479"/>
    <n v="1479"/>
    <n v="10"/>
    <n v="9"/>
    <n v="2024"/>
    <x v="180"/>
    <s v="C147"/>
    <n v="57"/>
    <s v="Female"/>
    <s v="USA"/>
    <x v="4"/>
    <s v="Backpack"/>
    <n v="918.02"/>
    <n v="4"/>
    <n v="20"/>
    <s v="Mobile_Money"/>
    <m/>
    <n v="7"/>
    <n v="2937.6640000000002"/>
  </r>
  <r>
    <s v="T1480"/>
    <n v="1480"/>
    <n v="9"/>
    <n v="8"/>
    <n v="2024"/>
    <x v="120"/>
    <s v="C163"/>
    <n v="39"/>
    <s v="Male"/>
    <s v="Nigeria"/>
    <x v="4"/>
    <s v="Sneakers"/>
    <n v="1141.9100000000001"/>
    <n v="3"/>
    <n v="0"/>
    <s v="Bank_Transfer"/>
    <n v="2"/>
    <n v="3"/>
    <n v="3425.73"/>
  </r>
  <r>
    <s v="T1481"/>
    <n v="1481"/>
    <n v="22"/>
    <n v="12"/>
    <n v="2024"/>
    <x v="261"/>
    <s v="C165"/>
    <n v="46"/>
    <s v="Male"/>
    <s v="USA"/>
    <x v="1"/>
    <s v="Microwave"/>
    <n v="849"/>
    <n v="1"/>
    <n v="5"/>
    <s v="Mobile_Money"/>
    <n v="2"/>
    <n v="7"/>
    <n v="806.55"/>
  </r>
  <r>
    <s v="T1482"/>
    <n v="1482"/>
    <n v="23"/>
    <n v="1"/>
    <n v="2024"/>
    <x v="262"/>
    <s v="C197"/>
    <n v="25"/>
    <s v="Female"/>
    <s v="Ghana"/>
    <x v="0"/>
    <s v="Laptop"/>
    <n v="371.7"/>
    <n v="1"/>
    <n v="10"/>
    <s v="PayPal"/>
    <n v="5"/>
    <n v="1"/>
    <n v="334.53"/>
  </r>
  <r>
    <s v="T1483"/>
    <n v="1483"/>
    <n v="6"/>
    <n v="9"/>
    <n v="2024"/>
    <x v="263"/>
    <s v="C114"/>
    <n v="28"/>
    <s v="Male"/>
    <s v="Kenya"/>
    <x v="3"/>
    <s v="Microwave"/>
    <n v="144.33000000000001"/>
    <n v="3"/>
    <n v="5"/>
    <s v="Bank_Transfer"/>
    <n v="5"/>
    <n v="9"/>
    <n v="411.34050000000002"/>
  </r>
  <r>
    <s v="T1484"/>
    <n v="1484"/>
    <n v="10"/>
    <n v="1"/>
    <n v="2024"/>
    <x v="264"/>
    <s v="C167"/>
    <n v="58"/>
    <s v="Male"/>
    <s v="Nigeria"/>
    <x v="0"/>
    <s v="Headphones"/>
    <n v="942.55"/>
    <n v="2"/>
    <n v="15"/>
    <s v="PayPal"/>
    <n v="5"/>
    <n v="6"/>
    <n v="1602.335"/>
  </r>
  <r>
    <s v="T1485"/>
    <n v="1485"/>
    <n v="2"/>
    <n v="9"/>
    <n v="2024"/>
    <x v="221"/>
    <s v="C136"/>
    <n v="54"/>
    <s v="Male"/>
    <s v="UK"/>
    <x v="1"/>
    <s v="Watch"/>
    <n v="780.1"/>
    <n v="1"/>
    <n v="0"/>
    <s v="Bank_Transfer"/>
    <n v="4"/>
    <n v="5"/>
    <n v="780.1"/>
  </r>
  <r>
    <s v="T1486"/>
    <n v="1486"/>
    <n v="20"/>
    <n v="11"/>
    <n v="2024"/>
    <x v="162"/>
    <s v="C121"/>
    <n v="31"/>
    <s v="Female"/>
    <s v="Nigeria"/>
    <x v="3"/>
    <s v="Laptop"/>
    <n v="76.86"/>
    <n v="2"/>
    <n v="15"/>
    <s v="PayPal"/>
    <n v="2"/>
    <n v="7"/>
    <n v="130.66200000000001"/>
  </r>
  <r>
    <s v="T1487"/>
    <n v="1487"/>
    <n v="9"/>
    <n v="4"/>
    <n v="2024"/>
    <x v="11"/>
    <s v="C152"/>
    <n v="47"/>
    <s v="Male"/>
    <s v="UK"/>
    <x v="4"/>
    <s v="Backpack"/>
    <n v="444.86"/>
    <n v="1"/>
    <n v="15"/>
    <s v="Mobile_Money"/>
    <n v="3"/>
    <n v="5"/>
    <n v="378.13099999999997"/>
  </r>
  <r>
    <s v="T1488"/>
    <n v="1488"/>
    <n v="16"/>
    <n v="10"/>
    <n v="2024"/>
    <x v="249"/>
    <s v="C127"/>
    <n v="52"/>
    <s v="Female"/>
    <s v="Nigeria"/>
    <x v="1"/>
    <s v="Sneakers"/>
    <n v="1149.02"/>
    <n v="1"/>
    <n v="15"/>
    <s v="Mobile_Money"/>
    <m/>
    <n v="5"/>
    <n v="976.66700000000003"/>
  </r>
  <r>
    <s v="T1489"/>
    <n v="1489"/>
    <n v="28"/>
    <n v="6"/>
    <n v="2024"/>
    <x v="149"/>
    <s v="C159"/>
    <n v="38"/>
    <s v="Female"/>
    <s v="USA"/>
    <x v="4"/>
    <s v="Fitness Tracker"/>
    <n v="610.47"/>
    <n v="1"/>
    <n v="0"/>
    <s v="PayPal"/>
    <n v="5"/>
    <n v="7"/>
    <n v="610.47"/>
  </r>
  <r>
    <s v="T1490"/>
    <n v="1490"/>
    <n v="10"/>
    <n v="8"/>
    <n v="2024"/>
    <x v="211"/>
    <s v="C113"/>
    <m/>
    <s v="Male"/>
    <s v=""/>
    <x v="2"/>
    <s v="Headphones"/>
    <n v="530.62"/>
    <n v="1"/>
    <n v="0"/>
    <s v="PayPal"/>
    <m/>
    <n v="7"/>
    <n v="530.62"/>
  </r>
  <r>
    <s v="T1491"/>
    <n v="1491"/>
    <n v="6"/>
    <n v="9"/>
    <n v="2024"/>
    <x v="263"/>
    <s v="C177"/>
    <m/>
    <s v="Male"/>
    <s v=""/>
    <x v="1"/>
    <s v="Watch"/>
    <n v="560.09"/>
    <n v="4"/>
    <n v="20"/>
    <s v="PayPal"/>
    <m/>
    <n v="3"/>
    <n v="1792.288"/>
  </r>
  <r>
    <s v="T1492"/>
    <n v="1492"/>
    <n v="26"/>
    <n v="5"/>
    <n v="2024"/>
    <x v="170"/>
    <s v="C136"/>
    <n v="36"/>
    <s v="Male"/>
    <s v="Ghana"/>
    <x v="2"/>
    <s v="Fitness Tracker"/>
    <n v="266.48"/>
    <n v="2"/>
    <n v="5"/>
    <s v="Bank_Transfer"/>
    <m/>
    <n v="3"/>
    <n v="506.31200000000001"/>
  </r>
  <r>
    <s v="T1493"/>
    <n v="1493"/>
    <n v="5"/>
    <n v="4"/>
    <n v="2024"/>
    <x v="119"/>
    <s v="C189"/>
    <n v="31"/>
    <s v="Female"/>
    <s v="UK"/>
    <x v="1"/>
    <s v="Smartphone"/>
    <n v="455.07"/>
    <n v="2"/>
    <n v="5"/>
    <s v="Mobile_Money"/>
    <n v="2"/>
    <n v="3"/>
    <n v="864.63300000000004"/>
  </r>
  <r>
    <s v="T1494"/>
    <n v="1494"/>
    <n v="13"/>
    <n v="9"/>
    <n v="2024"/>
    <x v="108"/>
    <s v="C183"/>
    <n v="43"/>
    <s v="Male"/>
    <s v="USA"/>
    <x v="1"/>
    <s v="Headphones"/>
    <n v="456.38"/>
    <n v="1"/>
    <n v="20"/>
    <s v="Bank_Transfer"/>
    <n v="5"/>
    <n v="6"/>
    <n v="365.10399999999998"/>
  </r>
  <r>
    <s v="T1495"/>
    <n v="1495"/>
    <n v="20"/>
    <n v="11"/>
    <n v="2024"/>
    <x v="162"/>
    <s v="C164"/>
    <m/>
    <s v="Male"/>
    <s v=""/>
    <x v="2"/>
    <s v="Sneakers"/>
    <n v="81.78"/>
    <n v="1"/>
    <n v="20"/>
    <s v="Mobile_Money"/>
    <m/>
    <n v="6"/>
    <n v="65.424000000000007"/>
  </r>
  <r>
    <s v="T1496"/>
    <n v="1496"/>
    <n v="4"/>
    <n v="1"/>
    <n v="2024"/>
    <x v="200"/>
    <s v="C132"/>
    <n v="42"/>
    <s v="Male"/>
    <s v="UK"/>
    <x v="3"/>
    <s v="Blender"/>
    <n v="925.73"/>
    <n v="2"/>
    <n v="15"/>
    <s v="Card"/>
    <n v="4"/>
    <n v="3"/>
    <n v="1573.741"/>
  </r>
  <r>
    <s v="T1497"/>
    <n v="1497"/>
    <n v="16"/>
    <n v="1"/>
    <n v="2024"/>
    <x v="265"/>
    <s v="C107"/>
    <n v="59"/>
    <s v="Male"/>
    <s v="Nigeria"/>
    <x v="0"/>
    <s v="Laptop"/>
    <n v="511.48"/>
    <n v="4"/>
    <n v="20"/>
    <s v="Bank_Transfer"/>
    <n v="4"/>
    <n v="3"/>
    <n v="1636.7360000000001"/>
  </r>
  <r>
    <s v="T1498"/>
    <n v="1498"/>
    <n v="6"/>
    <n v="10"/>
    <n v="2024"/>
    <x v="77"/>
    <s v="C122"/>
    <n v="42"/>
    <s v="Male"/>
    <s v="Ghana"/>
    <x v="4"/>
    <s v="Microwave"/>
    <n v="990.17"/>
    <n v="3"/>
    <n v="10"/>
    <s v="Mobile_Money"/>
    <n v="5"/>
    <n v="8"/>
    <n v="2673.4589999999998"/>
  </r>
  <r>
    <s v="T1499"/>
    <n v="1499"/>
    <n v="1"/>
    <n v="12"/>
    <n v="2024"/>
    <x v="266"/>
    <s v="C100"/>
    <n v="35"/>
    <s v="Female"/>
    <s v="Kenya"/>
    <x v="1"/>
    <s v="Sneakers"/>
    <n v="1023.41"/>
    <n v="3"/>
    <n v="5"/>
    <s v="Mobile_Money"/>
    <m/>
    <n v="8"/>
    <n v="2916.7184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38DFED-3F4E-495A-A5B1-0A3950BD1B1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B4:E17" firstHeaderRow="0" firstDataRow="1" firstDataCol="1"/>
  <pivotFields count="23">
    <pivotField showAll="0"/>
    <pivotField showAll="0"/>
    <pivotField showAll="0"/>
    <pivotField showAll="0"/>
    <pivotField showAll="0"/>
    <pivotField numFmtId="14" showAll="0">
      <items count="268">
        <item x="247"/>
        <item x="58"/>
        <item x="200"/>
        <item x="109"/>
        <item x="203"/>
        <item x="85"/>
        <item x="264"/>
        <item x="125"/>
        <item x="46"/>
        <item x="81"/>
        <item x="265"/>
        <item x="201"/>
        <item x="209"/>
        <item x="227"/>
        <item x="6"/>
        <item x="24"/>
        <item x="262"/>
        <item x="222"/>
        <item x="197"/>
        <item x="94"/>
        <item x="123"/>
        <item x="98"/>
        <item x="54"/>
        <item x="124"/>
        <item x="182"/>
        <item x="194"/>
        <item x="173"/>
        <item x="79"/>
        <item x="114"/>
        <item x="65"/>
        <item x="132"/>
        <item x="202"/>
        <item x="238"/>
        <item x="99"/>
        <item x="28"/>
        <item x="57"/>
        <item x="34"/>
        <item x="118"/>
        <item x="50"/>
        <item x="59"/>
        <item x="36"/>
        <item x="212"/>
        <item x="29"/>
        <item x="179"/>
        <item x="100"/>
        <item x="88"/>
        <item x="83"/>
        <item x="131"/>
        <item x="189"/>
        <item x="252"/>
        <item x="4"/>
        <item x="184"/>
        <item x="254"/>
        <item x="56"/>
        <item x="129"/>
        <item x="10"/>
        <item x="44"/>
        <item x="52"/>
        <item x="258"/>
        <item x="206"/>
        <item x="119"/>
        <item x="166"/>
        <item x="163"/>
        <item x="103"/>
        <item x="11"/>
        <item x="107"/>
        <item x="0"/>
        <item x="185"/>
        <item x="60"/>
        <item x="3"/>
        <item x="134"/>
        <item x="178"/>
        <item x="150"/>
        <item x="214"/>
        <item x="140"/>
        <item x="245"/>
        <item x="250"/>
        <item x="183"/>
        <item x="139"/>
        <item x="7"/>
        <item x="161"/>
        <item x="167"/>
        <item x="233"/>
        <item x="156"/>
        <item x="217"/>
        <item x="136"/>
        <item x="86"/>
        <item x="152"/>
        <item x="14"/>
        <item x="133"/>
        <item x="40"/>
        <item x="87"/>
        <item x="144"/>
        <item x="89"/>
        <item x="181"/>
        <item x="229"/>
        <item x="121"/>
        <item x="165"/>
        <item x="241"/>
        <item x="170"/>
        <item x="169"/>
        <item x="15"/>
        <item x="175"/>
        <item x="13"/>
        <item x="186"/>
        <item x="255"/>
        <item x="218"/>
        <item x="80"/>
        <item x="193"/>
        <item x="126"/>
        <item x="22"/>
        <item x="66"/>
        <item x="90"/>
        <item x="146"/>
        <item x="42"/>
        <item x="188"/>
        <item x="30"/>
        <item x="122"/>
        <item x="104"/>
        <item x="226"/>
        <item x="213"/>
        <item x="33"/>
        <item x="191"/>
        <item x="115"/>
        <item x="149"/>
        <item x="205"/>
        <item x="160"/>
        <item x="256"/>
        <item x="232"/>
        <item x="127"/>
        <item x="31"/>
        <item x="5"/>
        <item x="32"/>
        <item x="63"/>
        <item x="20"/>
        <item x="187"/>
        <item x="190"/>
        <item x="235"/>
        <item x="143"/>
        <item x="171"/>
        <item x="95"/>
        <item x="67"/>
        <item x="159"/>
        <item x="259"/>
        <item x="55"/>
        <item x="113"/>
        <item x="74"/>
        <item x="73"/>
        <item x="105"/>
        <item x="8"/>
        <item x="101"/>
        <item x="78"/>
        <item x="64"/>
        <item x="153"/>
        <item x="120"/>
        <item x="211"/>
        <item x="155"/>
        <item x="138"/>
        <item x="198"/>
        <item x="106"/>
        <item x="244"/>
        <item x="195"/>
        <item x="93"/>
        <item x="141"/>
        <item x="147"/>
        <item x="26"/>
        <item x="75"/>
        <item x="192"/>
        <item x="248"/>
        <item x="164"/>
        <item x="117"/>
        <item x="47"/>
        <item x="128"/>
        <item x="37"/>
        <item x="221"/>
        <item x="157"/>
        <item x="263"/>
        <item x="71"/>
        <item x="25"/>
        <item x="180"/>
        <item x="110"/>
        <item x="207"/>
        <item x="108"/>
        <item x="17"/>
        <item x="142"/>
        <item x="61"/>
        <item x="92"/>
        <item x="236"/>
        <item x="177"/>
        <item x="53"/>
        <item x="48"/>
        <item x="174"/>
        <item x="97"/>
        <item x="240"/>
        <item x="68"/>
        <item x="2"/>
        <item x="251"/>
        <item x="219"/>
        <item x="43"/>
        <item x="243"/>
        <item x="21"/>
        <item x="253"/>
        <item x="246"/>
        <item x="77"/>
        <item x="210"/>
        <item x="112"/>
        <item x="130"/>
        <item x="257"/>
        <item x="135"/>
        <item x="215"/>
        <item x="91"/>
        <item x="249"/>
        <item x="102"/>
        <item x="19"/>
        <item x="151"/>
        <item x="72"/>
        <item x="176"/>
        <item x="220"/>
        <item x="82"/>
        <item x="204"/>
        <item x="70"/>
        <item x="234"/>
        <item x="224"/>
        <item x="39"/>
        <item x="172"/>
        <item x="16"/>
        <item x="62"/>
        <item x="239"/>
        <item x="225"/>
        <item x="23"/>
        <item x="148"/>
        <item x="45"/>
        <item x="199"/>
        <item x="145"/>
        <item x="242"/>
        <item x="38"/>
        <item x="228"/>
        <item x="231"/>
        <item x="208"/>
        <item x="158"/>
        <item x="162"/>
        <item x="168"/>
        <item x="84"/>
        <item x="96"/>
        <item x="41"/>
        <item x="9"/>
        <item x="266"/>
        <item x="76"/>
        <item x="51"/>
        <item x="260"/>
        <item x="216"/>
        <item x="154"/>
        <item x="18"/>
        <item x="27"/>
        <item x="49"/>
        <item x="137"/>
        <item x="1"/>
        <item x="237"/>
        <item x="69"/>
        <item x="116"/>
        <item x="230"/>
        <item x="223"/>
        <item x="261"/>
        <item x="111"/>
        <item x="12"/>
        <item x="35"/>
        <item x="196"/>
        <item t="default"/>
      </items>
    </pivotField>
    <pivotField showAll="0"/>
    <pivotField showAll="0"/>
    <pivotField showAll="0"/>
    <pivotField showAll="0"/>
    <pivotField showAll="0">
      <items count="6">
        <item h="1" x="1"/>
        <item h="1" x="0"/>
        <item h="1" x="2"/>
        <item h="1" x="3"/>
        <item x="4"/>
        <item t="default"/>
      </items>
    </pivotField>
    <pivotField showAll="0"/>
    <pivotField showAll="0"/>
    <pivotField dataField="1" showAll="0"/>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ataField="1" dragToRow="0" dragToCol="0" dragToPage="0" showAll="0" defaultSubtotal="0"/>
  </pivotFields>
  <rowFields count="1">
    <field x="19"/>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Sum of Quantity" fld="13" baseField="0" baseItem="0"/>
    <dataField name="Sum of Total_Sales" fld="18" baseField="0" baseItem="0"/>
    <dataField name="Sum of Average_Sale_Price" fld="22" baseField="0" baseItem="0" numFmtId="164"/>
  </dataFields>
  <formats count="2">
    <format dxfId="1">
      <pivotArea dataOnly="0" labelOnly="1" outline="0" fieldPosition="0">
        <references count="1">
          <reference field="4294967294" count="1">
            <x v="2"/>
          </reference>
        </references>
      </pivotArea>
    </format>
    <format dxfId="0">
      <pivotArea outline="0" collapsedLevelsAreSubtotals="1" fieldPosition="0">
        <references count="1">
          <reference field="4294967294" count="1" selected="0">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5" type="dateBetween" evalOrder="-1" id="28" name="Full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DAB53C-A7D6-41CF-BFD6-5AE1A1F2C68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37:D43" firstHeaderRow="1" firstDataRow="1" firstDataCol="1"/>
  <pivotFields count="23">
    <pivotField showAll="0"/>
    <pivotField showAll="0"/>
    <pivotField showAll="0"/>
    <pivotField showAll="0"/>
    <pivotField showAll="0"/>
    <pivotField numFmtId="14" showAll="0">
      <items count="268">
        <item x="247"/>
        <item x="58"/>
        <item x="200"/>
        <item x="109"/>
        <item x="203"/>
        <item x="85"/>
        <item x="264"/>
        <item x="125"/>
        <item x="46"/>
        <item x="81"/>
        <item x="265"/>
        <item x="201"/>
        <item x="209"/>
        <item x="227"/>
        <item x="6"/>
        <item x="24"/>
        <item x="262"/>
        <item x="222"/>
        <item x="197"/>
        <item x="94"/>
        <item x="123"/>
        <item x="98"/>
        <item x="54"/>
        <item x="124"/>
        <item x="182"/>
        <item x="194"/>
        <item x="173"/>
        <item x="79"/>
        <item x="114"/>
        <item x="65"/>
        <item x="132"/>
        <item x="202"/>
        <item x="238"/>
        <item x="99"/>
        <item x="28"/>
        <item x="57"/>
        <item x="34"/>
        <item x="118"/>
        <item x="50"/>
        <item x="59"/>
        <item x="36"/>
        <item x="212"/>
        <item x="29"/>
        <item x="179"/>
        <item x="100"/>
        <item x="88"/>
        <item x="83"/>
        <item x="131"/>
        <item x="189"/>
        <item x="252"/>
        <item x="4"/>
        <item x="184"/>
        <item x="254"/>
        <item x="56"/>
        <item x="129"/>
        <item x="10"/>
        <item x="44"/>
        <item x="52"/>
        <item x="258"/>
        <item x="206"/>
        <item x="119"/>
        <item x="166"/>
        <item x="163"/>
        <item x="103"/>
        <item x="11"/>
        <item x="107"/>
        <item x="0"/>
        <item x="185"/>
        <item x="60"/>
        <item x="3"/>
        <item x="134"/>
        <item x="178"/>
        <item x="150"/>
        <item x="214"/>
        <item x="140"/>
        <item x="245"/>
        <item x="250"/>
        <item x="183"/>
        <item x="139"/>
        <item x="7"/>
        <item x="161"/>
        <item x="167"/>
        <item x="233"/>
        <item x="156"/>
        <item x="217"/>
        <item x="136"/>
        <item x="86"/>
        <item x="152"/>
        <item x="14"/>
        <item x="133"/>
        <item x="40"/>
        <item x="87"/>
        <item x="144"/>
        <item x="89"/>
        <item x="181"/>
        <item x="229"/>
        <item x="121"/>
        <item x="165"/>
        <item x="241"/>
        <item x="170"/>
        <item x="169"/>
        <item x="15"/>
        <item x="175"/>
        <item x="13"/>
        <item x="186"/>
        <item x="255"/>
        <item x="218"/>
        <item x="80"/>
        <item x="193"/>
        <item x="126"/>
        <item x="22"/>
        <item x="66"/>
        <item x="90"/>
        <item x="146"/>
        <item x="42"/>
        <item x="188"/>
        <item x="30"/>
        <item x="122"/>
        <item x="104"/>
        <item x="226"/>
        <item x="213"/>
        <item x="33"/>
        <item x="191"/>
        <item x="115"/>
        <item x="149"/>
        <item x="205"/>
        <item x="160"/>
        <item x="256"/>
        <item x="232"/>
        <item x="127"/>
        <item x="31"/>
        <item x="5"/>
        <item x="32"/>
        <item x="63"/>
        <item x="20"/>
        <item x="187"/>
        <item x="190"/>
        <item x="235"/>
        <item x="143"/>
        <item x="171"/>
        <item x="95"/>
        <item x="67"/>
        <item x="159"/>
        <item x="259"/>
        <item x="55"/>
        <item x="113"/>
        <item x="74"/>
        <item x="73"/>
        <item x="105"/>
        <item x="8"/>
        <item x="101"/>
        <item x="78"/>
        <item x="64"/>
        <item x="153"/>
        <item x="120"/>
        <item x="211"/>
        <item x="155"/>
        <item x="138"/>
        <item x="198"/>
        <item x="106"/>
        <item x="244"/>
        <item x="195"/>
        <item x="93"/>
        <item x="141"/>
        <item x="147"/>
        <item x="26"/>
        <item x="75"/>
        <item x="192"/>
        <item x="248"/>
        <item x="164"/>
        <item x="117"/>
        <item x="47"/>
        <item x="128"/>
        <item x="37"/>
        <item x="221"/>
        <item x="157"/>
        <item x="263"/>
        <item x="71"/>
        <item x="25"/>
        <item x="180"/>
        <item x="110"/>
        <item x="207"/>
        <item x="108"/>
        <item x="17"/>
        <item x="142"/>
        <item x="61"/>
        <item x="92"/>
        <item x="236"/>
        <item x="177"/>
        <item x="53"/>
        <item x="48"/>
        <item x="174"/>
        <item x="97"/>
        <item x="240"/>
        <item x="68"/>
        <item x="2"/>
        <item x="251"/>
        <item x="219"/>
        <item x="43"/>
        <item x="243"/>
        <item x="21"/>
        <item x="253"/>
        <item x="246"/>
        <item x="77"/>
        <item x="210"/>
        <item x="112"/>
        <item x="130"/>
        <item x="257"/>
        <item x="135"/>
        <item x="215"/>
        <item x="91"/>
        <item x="249"/>
        <item x="102"/>
        <item x="19"/>
        <item x="151"/>
        <item x="72"/>
        <item x="176"/>
        <item x="220"/>
        <item x="82"/>
        <item x="204"/>
        <item x="70"/>
        <item x="234"/>
        <item x="224"/>
        <item x="39"/>
        <item x="172"/>
        <item x="16"/>
        <item x="62"/>
        <item x="239"/>
        <item x="225"/>
        <item x="23"/>
        <item x="148"/>
        <item x="45"/>
        <item x="199"/>
        <item x="145"/>
        <item x="242"/>
        <item x="38"/>
        <item x="228"/>
        <item x="231"/>
        <item x="208"/>
        <item x="158"/>
        <item x="162"/>
        <item x="168"/>
        <item x="84"/>
        <item x="96"/>
        <item x="41"/>
        <item x="9"/>
        <item x="266"/>
        <item x="76"/>
        <item x="51"/>
        <item x="260"/>
        <item x="216"/>
        <item x="154"/>
        <item x="18"/>
        <item x="27"/>
        <item x="49"/>
        <item x="137"/>
        <item x="1"/>
        <item x="237"/>
        <item x="69"/>
        <item x="116"/>
        <item x="230"/>
        <item x="223"/>
        <item x="261"/>
        <item x="111"/>
        <item x="12"/>
        <item x="35"/>
        <item x="196"/>
        <item t="default"/>
      </items>
    </pivotField>
    <pivotField showAll="0"/>
    <pivotField showAll="0"/>
    <pivotField showAll="0"/>
    <pivotField showAll="0"/>
    <pivotField axis="axisRow" showAll="0">
      <items count="6">
        <item x="1"/>
        <item x="0"/>
        <item x="2"/>
        <item x="3"/>
        <item x="4"/>
        <item t="default"/>
      </items>
    </pivotField>
    <pivotField showAll="0"/>
    <pivotField showAll="0"/>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s>
  <rowFields count="1">
    <field x="10"/>
  </rowFields>
  <rowItems count="6">
    <i>
      <x/>
    </i>
    <i>
      <x v="1"/>
    </i>
    <i>
      <x v="2"/>
    </i>
    <i>
      <x v="3"/>
    </i>
    <i>
      <x v="4"/>
    </i>
    <i t="grand">
      <x/>
    </i>
  </rowItems>
  <colItems count="1">
    <i/>
  </colItems>
  <dataFields count="1">
    <dataField name="Sum of Total_Sale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5DAFCA-7250-4D24-B886-31136F121EA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5:D61" firstHeaderRow="0" firstDataRow="1" firstDataCol="1"/>
  <pivotFields count="23">
    <pivotField showAll="0"/>
    <pivotField showAll="0"/>
    <pivotField showAll="0"/>
    <pivotField showAll="0"/>
    <pivotField showAll="0"/>
    <pivotField numFmtId="14" showAll="0">
      <items count="268">
        <item x="247"/>
        <item x="58"/>
        <item x="200"/>
        <item x="109"/>
        <item x="203"/>
        <item x="85"/>
        <item x="264"/>
        <item x="125"/>
        <item x="46"/>
        <item x="81"/>
        <item x="265"/>
        <item x="201"/>
        <item x="209"/>
        <item x="227"/>
        <item x="6"/>
        <item x="24"/>
        <item x="262"/>
        <item x="222"/>
        <item x="197"/>
        <item x="94"/>
        <item x="123"/>
        <item x="98"/>
        <item x="54"/>
        <item x="124"/>
        <item x="182"/>
        <item x="194"/>
        <item x="173"/>
        <item x="79"/>
        <item x="114"/>
        <item x="65"/>
        <item x="132"/>
        <item x="202"/>
        <item x="238"/>
        <item x="99"/>
        <item x="28"/>
        <item x="57"/>
        <item x="34"/>
        <item x="118"/>
        <item x="50"/>
        <item x="59"/>
        <item x="36"/>
        <item x="212"/>
        <item x="29"/>
        <item x="179"/>
        <item x="100"/>
        <item x="88"/>
        <item x="83"/>
        <item x="131"/>
        <item x="189"/>
        <item x="252"/>
        <item x="4"/>
        <item x="184"/>
        <item x="254"/>
        <item x="56"/>
        <item x="129"/>
        <item x="10"/>
        <item x="44"/>
        <item x="52"/>
        <item x="258"/>
        <item x="206"/>
        <item x="119"/>
        <item x="166"/>
        <item x="163"/>
        <item x="103"/>
        <item x="11"/>
        <item x="107"/>
        <item x="0"/>
        <item x="185"/>
        <item x="60"/>
        <item x="3"/>
        <item x="134"/>
        <item x="178"/>
        <item x="150"/>
        <item x="214"/>
        <item x="140"/>
        <item x="245"/>
        <item x="250"/>
        <item x="183"/>
        <item x="139"/>
        <item x="7"/>
        <item x="161"/>
        <item x="167"/>
        <item x="233"/>
        <item x="156"/>
        <item x="217"/>
        <item x="136"/>
        <item x="86"/>
        <item x="152"/>
        <item x="14"/>
        <item x="133"/>
        <item x="40"/>
        <item x="87"/>
        <item x="144"/>
        <item x="89"/>
        <item x="181"/>
        <item x="229"/>
        <item x="121"/>
        <item x="165"/>
        <item x="241"/>
        <item x="170"/>
        <item x="169"/>
        <item x="15"/>
        <item x="175"/>
        <item x="13"/>
        <item x="186"/>
        <item x="255"/>
        <item x="218"/>
        <item x="80"/>
        <item x="193"/>
        <item x="126"/>
        <item x="22"/>
        <item x="66"/>
        <item x="90"/>
        <item x="146"/>
        <item x="42"/>
        <item x="188"/>
        <item x="30"/>
        <item x="122"/>
        <item x="104"/>
        <item x="226"/>
        <item x="213"/>
        <item x="33"/>
        <item x="191"/>
        <item x="115"/>
        <item x="149"/>
        <item x="205"/>
        <item x="160"/>
        <item x="256"/>
        <item x="232"/>
        <item x="127"/>
        <item x="31"/>
        <item x="5"/>
        <item x="32"/>
        <item x="63"/>
        <item x="20"/>
        <item x="187"/>
        <item x="190"/>
        <item x="235"/>
        <item x="143"/>
        <item x="171"/>
        <item x="95"/>
        <item x="67"/>
        <item x="159"/>
        <item x="259"/>
        <item x="55"/>
        <item x="113"/>
        <item x="74"/>
        <item x="73"/>
        <item x="105"/>
        <item x="8"/>
        <item x="101"/>
        <item x="78"/>
        <item x="64"/>
        <item x="153"/>
        <item x="120"/>
        <item x="211"/>
        <item x="155"/>
        <item x="138"/>
        <item x="198"/>
        <item x="106"/>
        <item x="244"/>
        <item x="195"/>
        <item x="93"/>
        <item x="141"/>
        <item x="147"/>
        <item x="26"/>
        <item x="75"/>
        <item x="192"/>
        <item x="248"/>
        <item x="164"/>
        <item x="117"/>
        <item x="47"/>
        <item x="128"/>
        <item x="37"/>
        <item x="221"/>
        <item x="157"/>
        <item x="263"/>
        <item x="71"/>
        <item x="25"/>
        <item x="180"/>
        <item x="110"/>
        <item x="207"/>
        <item x="108"/>
        <item x="17"/>
        <item x="142"/>
        <item x="61"/>
        <item x="92"/>
        <item x="236"/>
        <item x="177"/>
        <item x="53"/>
        <item x="48"/>
        <item x="174"/>
        <item x="97"/>
        <item x="240"/>
        <item x="68"/>
        <item x="2"/>
        <item x="251"/>
        <item x="219"/>
        <item x="43"/>
        <item x="243"/>
        <item x="21"/>
        <item x="253"/>
        <item x="246"/>
        <item x="77"/>
        <item x="210"/>
        <item x="112"/>
        <item x="130"/>
        <item x="257"/>
        <item x="135"/>
        <item x="215"/>
        <item x="91"/>
        <item x="249"/>
        <item x="102"/>
        <item x="19"/>
        <item x="151"/>
        <item x="72"/>
        <item x="176"/>
        <item x="220"/>
        <item x="82"/>
        <item x="204"/>
        <item x="70"/>
        <item x="234"/>
        <item x="224"/>
        <item x="39"/>
        <item x="172"/>
        <item x="16"/>
        <item x="62"/>
        <item x="239"/>
        <item x="225"/>
        <item x="23"/>
        <item x="148"/>
        <item x="45"/>
        <item x="199"/>
        <item x="145"/>
        <item x="242"/>
        <item x="38"/>
        <item x="228"/>
        <item x="231"/>
        <item x="208"/>
        <item x="158"/>
        <item x="162"/>
        <item x="168"/>
        <item x="84"/>
        <item x="96"/>
        <item x="41"/>
        <item x="9"/>
        <item x="266"/>
        <item x="76"/>
        <item x="51"/>
        <item x="260"/>
        <item x="216"/>
        <item x="154"/>
        <item x="18"/>
        <item x="27"/>
        <item x="49"/>
        <item x="137"/>
        <item x="1"/>
        <item x="237"/>
        <item x="69"/>
        <item x="116"/>
        <item x="230"/>
        <item x="223"/>
        <item x="261"/>
        <item x="111"/>
        <item x="12"/>
        <item x="35"/>
        <item x="196"/>
        <item t="default"/>
      </items>
    </pivotField>
    <pivotField showAll="0"/>
    <pivotField showAll="0"/>
    <pivotField showAll="0"/>
    <pivotField showAll="0"/>
    <pivotField axis="axisRow" showAll="0">
      <items count="6">
        <item x="1"/>
        <item x="0"/>
        <item x="2"/>
        <item x="3"/>
        <item x="4"/>
        <item t="default"/>
      </items>
    </pivotField>
    <pivotField showAll="0"/>
    <pivotField showAll="0"/>
    <pivotField dataField="1" showAll="0"/>
    <pivotField showAll="0"/>
    <pivotField showAll="0"/>
    <pivotField dataField="1" showAll="0"/>
    <pivotField showAll="0"/>
    <pivotField dataField="1" showAl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s>
  <rowFields count="1">
    <field x="10"/>
  </rowFields>
  <rowItems count="6">
    <i>
      <x/>
    </i>
    <i>
      <x v="1"/>
    </i>
    <i>
      <x v="2"/>
    </i>
    <i>
      <x v="3"/>
    </i>
    <i>
      <x v="4"/>
    </i>
    <i t="grand">
      <x/>
    </i>
  </rowItems>
  <colFields count="1">
    <field x="-2"/>
  </colFields>
  <colItems count="3">
    <i>
      <x/>
    </i>
    <i i="1">
      <x v="1"/>
    </i>
    <i i="2">
      <x v="2"/>
    </i>
  </colItems>
  <dataFields count="3">
    <dataField name="Average of Customer_Rating" fld="16" subtotal="average" baseField="10" baseItem="0" numFmtId="164"/>
    <dataField name="Sum of Quantity" fld="13" baseField="0" baseItem="0"/>
    <dataField name="Sum of Total_Sales" fld="18" baseField="0" baseItem="0"/>
  </dataFields>
  <formats count="1">
    <format dxfId="2">
      <pivotArea outline="0" collapsedLevelsAreSubtotals="1" fieldPosition="0">
        <references count="1">
          <reference field="4294967294" count="1" selected="0">
            <x v="0"/>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98EC8DA-D798-420C-82AB-F8C2329A01C2}" sourceName="Product_Category">
  <pivotTables>
    <pivotTable tabId="3" name="PivotTable2"/>
  </pivotTables>
  <data>
    <tabular pivotCacheId="414805765">
      <items count="5">
        <i x="1"/>
        <i x="0"/>
        <i x="2"/>
        <i x="3"/>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3535A483-3F5D-4327-B3D4-FE00B5F3F567}" cache="Slicer_Product_Category" caption="Product_Category"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ull_Date" xr10:uid="{0A2B5792-9BD4-4B90-9D7F-1EF07AE705FD}" sourceName="Full_Date">
  <pivotTables>
    <pivotTable tabId="3" name="PivotTable2"/>
  </pivotTables>
  <state minimalRefreshVersion="6" lastRefreshVersion="6" pivotCacheId="414805765" filterType="dateBetween">
    <selection startDate="2024-01-01T00:00:00" endDate="2024-12-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ull_Date" xr10:uid="{0F528CE8-376A-4A31-9F91-A9EB27088FA2}" cache="NativeTimeline_Full_Date" caption="Full_Date" level="2" selectionLevel="0" scrollPosition="2024-05-19T00:00:00"/>
</timeline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A10A2-7D24-412D-B224-77194E387777}">
  <dimension ref="A1:R501"/>
  <sheetViews>
    <sheetView topLeftCell="H1" workbookViewId="0">
      <selection activeCell="S2" sqref="S2"/>
    </sheetView>
  </sheetViews>
  <sheetFormatPr defaultRowHeight="14.5" x14ac:dyDescent="0.35"/>
  <cols>
    <col min="1" max="1" width="13" bestFit="1" customWidth="1"/>
    <col min="2" max="2" width="10.453125" bestFit="1" customWidth="1"/>
    <col min="3" max="3" width="11.36328125" bestFit="1" customWidth="1"/>
    <col min="4" max="4" width="12.6328125" bestFit="1" customWidth="1"/>
    <col min="7" max="7" width="15.36328125" bestFit="1" customWidth="1"/>
    <col min="8" max="8" width="13.26953125" bestFit="1" customWidth="1"/>
    <col min="9" max="9" width="9.1796875" bestFit="1" customWidth="1"/>
    <col min="11" max="11" width="10.453125" bestFit="1" customWidth="1"/>
    <col min="12" max="12" width="14.90625" bestFit="1" customWidth="1"/>
    <col min="13" max="13" width="14.81640625" bestFit="1" customWidth="1"/>
    <col min="14" max="14" width="17" bestFit="1" customWidth="1"/>
    <col min="15" max="15" width="10" bestFit="1" customWidth="1"/>
    <col min="16" max="16" width="13" bestFit="1" customWidth="1"/>
    <col min="18" max="18" width="11.1796875" bestFit="1" customWidth="1"/>
  </cols>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t="s">
        <v>15</v>
      </c>
      <c r="Q1" t="s">
        <v>16</v>
      </c>
      <c r="R1" t="s">
        <v>17</v>
      </c>
    </row>
    <row r="2" spans="1:18" x14ac:dyDescent="0.35">
      <c r="A2" s="1" t="s">
        <v>18</v>
      </c>
      <c r="B2" s="2">
        <v>45394</v>
      </c>
      <c r="C2" s="1" t="s">
        <v>19</v>
      </c>
      <c r="D2" s="1">
        <v>19</v>
      </c>
      <c r="E2" s="1" t="s">
        <v>20</v>
      </c>
      <c r="F2" s="1" t="s">
        <v>21</v>
      </c>
      <c r="G2" s="1" t="s">
        <v>22</v>
      </c>
      <c r="H2" s="1" t="s">
        <v>23</v>
      </c>
      <c r="I2" s="1">
        <v>551.41</v>
      </c>
      <c r="J2" s="1">
        <v>4</v>
      </c>
      <c r="K2" s="1">
        <v>20</v>
      </c>
      <c r="L2" s="1" t="s">
        <v>24</v>
      </c>
      <c r="N2" s="1">
        <v>2</v>
      </c>
      <c r="O2" s="1">
        <v>1764.5119999999999</v>
      </c>
      <c r="P2" cm="1">
        <f t="array" ref="P2">_xlfn.IFS(O2&gt;=3000,20%,O2&gt;=1000,15%,O2&gt;=500,10%,O2&gt;=200,5%,O2&lt;200,0%)</f>
        <v>0.15</v>
      </c>
      <c r="Q2">
        <f>(P2*O2)</f>
        <v>264.67679999999996</v>
      </c>
      <c r="R2" t="str">
        <f>IF(ISBLANK(K2),"Missing Data",IF(ISBLANK(M2),"Missing Data",IF(AND(K2&lt;=10,M2&gt;=4),"Low Risk",IF(OR(K2&gt;20,M2&lt;2),"High Risk","Medium Risk"))))</f>
        <v>Missing Data</v>
      </c>
    </row>
    <row r="3" spans="1:18" x14ac:dyDescent="0.35">
      <c r="A3" s="1" t="s">
        <v>25</v>
      </c>
      <c r="B3" s="2">
        <v>45640</v>
      </c>
      <c r="C3" s="1" t="s">
        <v>26</v>
      </c>
      <c r="D3" s="1">
        <v>45</v>
      </c>
      <c r="E3" s="1" t="s">
        <v>20</v>
      </c>
      <c r="F3" s="1" t="s">
        <v>27</v>
      </c>
      <c r="G3" s="1" t="s">
        <v>22</v>
      </c>
      <c r="H3" s="1" t="s">
        <v>28</v>
      </c>
      <c r="I3" s="1">
        <v>903.62</v>
      </c>
      <c r="J3" s="1">
        <v>1</v>
      </c>
      <c r="K3" s="1">
        <v>20</v>
      </c>
      <c r="L3" s="1" t="s">
        <v>29</v>
      </c>
      <c r="M3" s="1">
        <v>3</v>
      </c>
      <c r="N3" s="1">
        <v>8</v>
      </c>
      <c r="O3" s="1">
        <v>722.89599999999996</v>
      </c>
      <c r="P3" cm="1">
        <f t="array" ref="P3">_xlfn.IFS(O3&gt;=3000,20%,O3&gt;=1000,15%,O3&gt;=500,10%,O3&gt;=200,5%,O3&lt;200,0%)</f>
        <v>0.1</v>
      </c>
      <c r="Q3">
        <f t="shared" ref="Q3:Q66" si="0">(P3*O3)</f>
        <v>72.289599999999993</v>
      </c>
      <c r="R3" t="str">
        <f t="shared" ref="R3:R66" si="1">IF(ISBLANK(K3),"Missing Data",IF(ISBLANK(M3),"Missing Data",IF(AND(K3&lt;=10,M3&gt;=4),"Low Risk",IF(OR(K3&gt;20,M3&lt;2),"High Risk","Medium Risk"))))</f>
        <v>Medium Risk</v>
      </c>
    </row>
    <row r="4" spans="1:18" x14ac:dyDescent="0.35">
      <c r="A4" s="1" t="s">
        <v>30</v>
      </c>
      <c r="B4" s="2">
        <v>45562</v>
      </c>
      <c r="C4" s="1" t="s">
        <v>31</v>
      </c>
      <c r="D4" s="1">
        <v>49</v>
      </c>
      <c r="E4" s="1" t="s">
        <v>32</v>
      </c>
      <c r="F4" s="1" t="s">
        <v>33</v>
      </c>
      <c r="G4" s="1" t="s">
        <v>34</v>
      </c>
      <c r="H4" s="1" t="s">
        <v>35</v>
      </c>
      <c r="I4" s="1">
        <v>788.35</v>
      </c>
      <c r="J4" s="1">
        <v>1</v>
      </c>
      <c r="K4" s="1">
        <v>15</v>
      </c>
      <c r="L4" s="1" t="s">
        <v>29</v>
      </c>
      <c r="M4" s="1">
        <v>4</v>
      </c>
      <c r="N4" s="1">
        <v>9</v>
      </c>
      <c r="O4" s="1">
        <v>670.09749999999997</v>
      </c>
      <c r="P4" cm="1">
        <f t="array" ref="P4">_xlfn.IFS(O4&gt;=3000,20%,O4&gt;=1000,15%,O4&gt;=500,10%,O4&gt;=200,5%,O4&lt;200,0%)</f>
        <v>0.1</v>
      </c>
      <c r="Q4">
        <f t="shared" si="0"/>
        <v>67.009749999999997</v>
      </c>
      <c r="R4" t="str">
        <f t="shared" si="1"/>
        <v>Medium Risk</v>
      </c>
    </row>
    <row r="5" spans="1:18" x14ac:dyDescent="0.35">
      <c r="A5" s="1" t="s">
        <v>36</v>
      </c>
      <c r="B5" s="2">
        <v>45398</v>
      </c>
      <c r="C5" s="1" t="s">
        <v>37</v>
      </c>
      <c r="D5" s="1">
        <v>44</v>
      </c>
      <c r="E5" s="1" t="s">
        <v>20</v>
      </c>
      <c r="F5" s="1" t="s">
        <v>33</v>
      </c>
      <c r="G5" s="1" t="s">
        <v>38</v>
      </c>
      <c r="H5" s="1" t="s">
        <v>28</v>
      </c>
      <c r="I5" s="1">
        <v>752.7</v>
      </c>
      <c r="J5" s="1">
        <v>2</v>
      </c>
      <c r="K5" s="1">
        <v>10</v>
      </c>
      <c r="L5" s="1" t="s">
        <v>29</v>
      </c>
      <c r="M5" s="1">
        <v>4</v>
      </c>
      <c r="N5" s="1">
        <v>5</v>
      </c>
      <c r="O5" s="1">
        <v>1354.86</v>
      </c>
      <c r="P5" cm="1">
        <f t="array" ref="P5">_xlfn.IFS(O5&gt;=3000,20%,O5&gt;=1000,15%,O5&gt;=500,10%,O5&gt;=200,5%,O5&lt;200,0%)</f>
        <v>0.15</v>
      </c>
      <c r="Q5">
        <f t="shared" si="0"/>
        <v>203.22899999999998</v>
      </c>
      <c r="R5" t="str">
        <f t="shared" si="1"/>
        <v>Low Risk</v>
      </c>
    </row>
    <row r="6" spans="1:18" x14ac:dyDescent="0.35">
      <c r="A6" s="1" t="s">
        <v>39</v>
      </c>
      <c r="B6" s="2">
        <v>45363</v>
      </c>
      <c r="C6" s="1" t="s">
        <v>40</v>
      </c>
      <c r="D6" s="1">
        <v>37</v>
      </c>
      <c r="E6" s="1" t="s">
        <v>20</v>
      </c>
      <c r="F6" s="1" t="s">
        <v>21</v>
      </c>
      <c r="G6" s="1" t="s">
        <v>41</v>
      </c>
      <c r="H6" s="1" t="s">
        <v>42</v>
      </c>
      <c r="I6" s="1">
        <v>435.8</v>
      </c>
      <c r="J6" s="1">
        <v>3</v>
      </c>
      <c r="K6" s="1">
        <v>10</v>
      </c>
      <c r="L6" s="1" t="s">
        <v>43</v>
      </c>
      <c r="N6" s="1">
        <v>4</v>
      </c>
      <c r="O6" s="1">
        <v>1176.6600000000001</v>
      </c>
      <c r="P6" cm="1">
        <f t="array" ref="P6">_xlfn.IFS(O6&gt;=3000,20%,O6&gt;=1000,15%,O6&gt;=500,10%,O6&gt;=200,5%,O6&lt;200,0%)</f>
        <v>0.15</v>
      </c>
      <c r="Q6">
        <f t="shared" si="0"/>
        <v>176.499</v>
      </c>
      <c r="R6" t="str">
        <f t="shared" si="1"/>
        <v>Missing Data</v>
      </c>
    </row>
    <row r="7" spans="1:18" x14ac:dyDescent="0.35">
      <c r="A7" s="1" t="s">
        <v>44</v>
      </c>
      <c r="B7" s="2">
        <v>45480</v>
      </c>
      <c r="C7" s="1" t="s">
        <v>45</v>
      </c>
      <c r="D7" s="1">
        <v>41</v>
      </c>
      <c r="E7" s="1" t="s">
        <v>20</v>
      </c>
      <c r="F7" s="1" t="s">
        <v>46</v>
      </c>
      <c r="G7" s="1" t="s">
        <v>47</v>
      </c>
      <c r="H7" s="1" t="s">
        <v>48</v>
      </c>
      <c r="I7" s="1">
        <v>1012.91</v>
      </c>
      <c r="J7" s="1">
        <v>2</v>
      </c>
      <c r="K7" s="1">
        <v>15</v>
      </c>
      <c r="L7" s="1" t="s">
        <v>43</v>
      </c>
      <c r="M7" s="1">
        <v>1</v>
      </c>
      <c r="N7" s="1">
        <v>6</v>
      </c>
      <c r="O7" s="1">
        <v>1721.9469999999999</v>
      </c>
      <c r="P7" cm="1">
        <f t="array" ref="P7">_xlfn.IFS(O7&gt;=3000,20%,O7&gt;=1000,15%,O7&gt;=500,10%,O7&gt;=200,5%,O7&lt;200,0%)</f>
        <v>0.15</v>
      </c>
      <c r="Q7">
        <f t="shared" si="0"/>
        <v>258.29204999999996</v>
      </c>
      <c r="R7" t="str">
        <f t="shared" si="1"/>
        <v>High Risk</v>
      </c>
    </row>
    <row r="8" spans="1:18" x14ac:dyDescent="0.35">
      <c r="A8" s="1" t="s">
        <v>49</v>
      </c>
      <c r="B8" s="2">
        <v>45312</v>
      </c>
      <c r="C8" s="1" t="s">
        <v>50</v>
      </c>
      <c r="D8" s="1">
        <v>29</v>
      </c>
      <c r="E8" s="1" t="s">
        <v>32</v>
      </c>
      <c r="F8" s="1" t="s">
        <v>51</v>
      </c>
      <c r="G8" s="1" t="s">
        <v>47</v>
      </c>
      <c r="H8" s="1" t="s">
        <v>42</v>
      </c>
      <c r="I8" s="1">
        <v>576.12</v>
      </c>
      <c r="J8" s="1">
        <v>4</v>
      </c>
      <c r="K8" s="1">
        <v>15</v>
      </c>
      <c r="L8" s="1" t="s">
        <v>52</v>
      </c>
      <c r="M8" s="1">
        <v>1</v>
      </c>
      <c r="N8" s="1">
        <v>8</v>
      </c>
      <c r="O8" s="1">
        <v>1958.808</v>
      </c>
      <c r="P8" cm="1">
        <f t="array" ref="P8">_xlfn.IFS(O8&gt;=3000,20%,O8&gt;=1000,15%,O8&gt;=500,10%,O8&gt;=200,5%,O8&lt;200,0%)</f>
        <v>0.15</v>
      </c>
      <c r="Q8">
        <f t="shared" si="0"/>
        <v>293.82119999999998</v>
      </c>
      <c r="R8" t="str">
        <f t="shared" si="1"/>
        <v>High Risk</v>
      </c>
    </row>
    <row r="9" spans="1:18" x14ac:dyDescent="0.35">
      <c r="A9" s="1" t="s">
        <v>53</v>
      </c>
      <c r="B9" s="2">
        <v>45394</v>
      </c>
      <c r="C9" s="1" t="s">
        <v>54</v>
      </c>
      <c r="D9" s="1">
        <v>52</v>
      </c>
      <c r="E9" s="1" t="s">
        <v>32</v>
      </c>
      <c r="F9" s="1" t="s">
        <v>51</v>
      </c>
      <c r="G9" s="1" t="s">
        <v>22</v>
      </c>
      <c r="H9" s="1" t="s">
        <v>55</v>
      </c>
      <c r="I9" s="1">
        <v>1175.3399999999999</v>
      </c>
      <c r="J9" s="1">
        <v>2</v>
      </c>
      <c r="K9" s="1">
        <v>15</v>
      </c>
      <c r="L9" s="1" t="s">
        <v>52</v>
      </c>
      <c r="M9" s="1">
        <v>2</v>
      </c>
      <c r="N9" s="1">
        <v>3</v>
      </c>
      <c r="O9" s="1">
        <v>1998.078</v>
      </c>
      <c r="P9" cm="1">
        <f t="array" ref="P9">_xlfn.IFS(O9&gt;=3000,20%,O9&gt;=1000,15%,O9&gt;=500,10%,O9&gt;=200,5%,O9&lt;200,0%)</f>
        <v>0.15</v>
      </c>
      <c r="Q9">
        <f t="shared" si="0"/>
        <v>299.71170000000001</v>
      </c>
      <c r="R9" t="str">
        <f t="shared" si="1"/>
        <v>Medium Risk</v>
      </c>
    </row>
    <row r="10" spans="1:18" x14ac:dyDescent="0.35">
      <c r="A10" s="1" t="s">
        <v>56</v>
      </c>
      <c r="B10" s="2">
        <v>45413</v>
      </c>
      <c r="C10" s="1" t="s">
        <v>57</v>
      </c>
      <c r="D10" s="1">
        <v>50</v>
      </c>
      <c r="E10" s="1" t="s">
        <v>20</v>
      </c>
      <c r="F10" s="1" t="s">
        <v>33</v>
      </c>
      <c r="G10" s="1" t="s">
        <v>34</v>
      </c>
      <c r="H10" s="1" t="s">
        <v>48</v>
      </c>
      <c r="I10" s="1">
        <v>768.29</v>
      </c>
      <c r="J10" s="1">
        <v>1</v>
      </c>
      <c r="K10" s="1">
        <v>10</v>
      </c>
      <c r="L10" s="1" t="s">
        <v>29</v>
      </c>
      <c r="M10" s="1">
        <v>1</v>
      </c>
      <c r="N10" s="1">
        <v>1</v>
      </c>
      <c r="O10" s="1">
        <v>691.46100000000001</v>
      </c>
      <c r="P10" cm="1">
        <f t="array" ref="P10">_xlfn.IFS(O10&gt;=3000,20%,O10&gt;=1000,15%,O10&gt;=500,10%,O10&gt;=200,5%,O10&lt;200,0%)</f>
        <v>0.1</v>
      </c>
      <c r="Q10">
        <f t="shared" si="0"/>
        <v>69.146100000000004</v>
      </c>
      <c r="R10" t="str">
        <f t="shared" si="1"/>
        <v>High Risk</v>
      </c>
    </row>
    <row r="11" spans="1:18" x14ac:dyDescent="0.35">
      <c r="A11" s="1" t="s">
        <v>58</v>
      </c>
      <c r="B11" s="2">
        <v>45506</v>
      </c>
      <c r="C11" s="1" t="s">
        <v>59</v>
      </c>
      <c r="E11" s="1" t="s">
        <v>32</v>
      </c>
      <c r="G11" s="1" t="s">
        <v>34</v>
      </c>
      <c r="H11" s="1" t="s">
        <v>48</v>
      </c>
      <c r="I11" s="1">
        <v>168.99</v>
      </c>
      <c r="J11" s="1">
        <v>4</v>
      </c>
      <c r="K11" s="1">
        <v>15</v>
      </c>
      <c r="L11" s="1" t="s">
        <v>29</v>
      </c>
      <c r="N11" s="1">
        <v>4</v>
      </c>
      <c r="O11" s="1">
        <v>574.56600000000003</v>
      </c>
      <c r="P11" cm="1">
        <f t="array" ref="P11">_xlfn.IFS(O11&gt;=3000,20%,O11&gt;=1000,15%,O11&gt;=500,10%,O11&gt;=200,5%,O11&lt;200,0%)</f>
        <v>0.1</v>
      </c>
      <c r="Q11">
        <f t="shared" si="0"/>
        <v>57.456600000000009</v>
      </c>
      <c r="R11" t="str">
        <f t="shared" si="1"/>
        <v>Missing Data</v>
      </c>
    </row>
    <row r="12" spans="1:18" x14ac:dyDescent="0.35">
      <c r="A12" s="1" t="s">
        <v>60</v>
      </c>
      <c r="B12" s="2">
        <v>45622</v>
      </c>
      <c r="C12" s="1" t="s">
        <v>61</v>
      </c>
      <c r="D12" s="1">
        <v>54</v>
      </c>
      <c r="E12" s="1" t="s">
        <v>32</v>
      </c>
      <c r="F12" s="1" t="s">
        <v>51</v>
      </c>
      <c r="G12" s="1" t="s">
        <v>47</v>
      </c>
      <c r="H12" s="1" t="s">
        <v>42</v>
      </c>
      <c r="I12" s="1">
        <v>817.89</v>
      </c>
      <c r="J12" s="1">
        <v>1</v>
      </c>
      <c r="K12" s="1">
        <v>0</v>
      </c>
      <c r="L12" s="1" t="s">
        <v>43</v>
      </c>
      <c r="M12" s="1">
        <v>5</v>
      </c>
      <c r="N12" s="1">
        <v>4</v>
      </c>
      <c r="O12" s="1">
        <v>817.89</v>
      </c>
      <c r="P12" cm="1">
        <f t="array" ref="P12">_xlfn.IFS(O12&gt;=3000,20%,O12&gt;=1000,15%,O12&gt;=500,10%,O12&gt;=200,5%,O12&lt;200,0%)</f>
        <v>0.1</v>
      </c>
      <c r="Q12">
        <f t="shared" si="0"/>
        <v>81.789000000000001</v>
      </c>
      <c r="R12" t="str">
        <f t="shared" si="1"/>
        <v>Low Risk</v>
      </c>
    </row>
    <row r="13" spans="1:18" x14ac:dyDescent="0.35">
      <c r="A13" s="1" t="s">
        <v>62</v>
      </c>
      <c r="B13" s="2">
        <v>45379</v>
      </c>
      <c r="C13" s="1" t="s">
        <v>63</v>
      </c>
      <c r="D13" s="1">
        <v>29</v>
      </c>
      <c r="E13" s="1" t="s">
        <v>32</v>
      </c>
      <c r="F13" s="1" t="s">
        <v>33</v>
      </c>
      <c r="G13" s="1" t="s">
        <v>41</v>
      </c>
      <c r="H13" s="1" t="s">
        <v>64</v>
      </c>
      <c r="I13" s="1">
        <v>403.62</v>
      </c>
      <c r="J13" s="1">
        <v>3</v>
      </c>
      <c r="K13" s="1">
        <v>20</v>
      </c>
      <c r="L13" s="1" t="s">
        <v>52</v>
      </c>
      <c r="M13" s="1">
        <v>2</v>
      </c>
      <c r="N13" s="1">
        <v>1</v>
      </c>
      <c r="O13" s="1">
        <v>968.68799999999999</v>
      </c>
      <c r="P13" cm="1">
        <f t="array" ref="P13">_xlfn.IFS(O13&gt;=3000,20%,O13&gt;=1000,15%,O13&gt;=500,10%,O13&gt;=200,5%,O13&lt;200,0%)</f>
        <v>0.1</v>
      </c>
      <c r="Q13">
        <f t="shared" si="0"/>
        <v>96.868800000000007</v>
      </c>
      <c r="R13" t="str">
        <f t="shared" si="1"/>
        <v>Medium Risk</v>
      </c>
    </row>
    <row r="14" spans="1:18" x14ac:dyDescent="0.35">
      <c r="A14" s="1" t="s">
        <v>65</v>
      </c>
      <c r="B14" s="2">
        <v>45391</v>
      </c>
      <c r="C14" s="1" t="s">
        <v>66</v>
      </c>
      <c r="D14" s="1">
        <v>20</v>
      </c>
      <c r="E14" s="1" t="s">
        <v>32</v>
      </c>
      <c r="F14" s="1" t="s">
        <v>46</v>
      </c>
      <c r="G14" s="1" t="s">
        <v>38</v>
      </c>
      <c r="H14" s="1" t="s">
        <v>42</v>
      </c>
      <c r="I14" s="1">
        <v>829.87</v>
      </c>
      <c r="J14" s="1">
        <v>1</v>
      </c>
      <c r="K14" s="1">
        <v>20</v>
      </c>
      <c r="L14" s="1" t="s">
        <v>29</v>
      </c>
      <c r="M14" s="1">
        <v>1</v>
      </c>
      <c r="N14" s="1">
        <v>9</v>
      </c>
      <c r="O14" s="1">
        <v>663.89599999999996</v>
      </c>
      <c r="P14" cm="1">
        <f t="array" ref="P14">_xlfn.IFS(O14&gt;=3000,20%,O14&gt;=1000,15%,O14&gt;=500,10%,O14&gt;=200,5%,O14&lt;200,0%)</f>
        <v>0.1</v>
      </c>
      <c r="Q14">
        <f t="shared" si="0"/>
        <v>66.389600000000002</v>
      </c>
      <c r="R14" t="str">
        <f t="shared" si="1"/>
        <v>High Risk</v>
      </c>
    </row>
    <row r="15" spans="1:18" x14ac:dyDescent="0.35">
      <c r="A15" s="1" t="s">
        <v>67</v>
      </c>
      <c r="B15" s="2">
        <v>45651</v>
      </c>
      <c r="C15" s="1" t="s">
        <v>68</v>
      </c>
      <c r="D15" s="1">
        <v>18</v>
      </c>
      <c r="E15" s="1" t="s">
        <v>32</v>
      </c>
      <c r="F15" s="1" t="s">
        <v>51</v>
      </c>
      <c r="G15" s="1" t="s">
        <v>41</v>
      </c>
      <c r="H15" s="1" t="s">
        <v>28</v>
      </c>
      <c r="I15" s="1">
        <v>102.18</v>
      </c>
      <c r="J15" s="1">
        <v>1</v>
      </c>
      <c r="K15" s="1">
        <v>5</v>
      </c>
      <c r="L15" s="1" t="s">
        <v>52</v>
      </c>
      <c r="N15" s="1">
        <v>3</v>
      </c>
      <c r="O15" s="1">
        <v>97.070999999999998</v>
      </c>
      <c r="P15" cm="1">
        <f t="array" ref="P15">_xlfn.IFS(O15&gt;=3000,20%,O15&gt;=1000,15%,O15&gt;=500,10%,O15&gt;=200,5%,O15&lt;200,0%)</f>
        <v>0</v>
      </c>
      <c r="Q15">
        <f t="shared" si="0"/>
        <v>0</v>
      </c>
      <c r="R15" t="str">
        <f t="shared" si="1"/>
        <v>Missing Data</v>
      </c>
    </row>
    <row r="16" spans="1:18" x14ac:dyDescent="0.35">
      <c r="A16" s="1" t="s">
        <v>69</v>
      </c>
      <c r="B16" s="2">
        <v>45443</v>
      </c>
      <c r="C16" s="1" t="s">
        <v>70</v>
      </c>
      <c r="D16" s="1">
        <v>50</v>
      </c>
      <c r="E16" s="1" t="s">
        <v>32</v>
      </c>
      <c r="F16" s="1" t="s">
        <v>33</v>
      </c>
      <c r="G16" s="1" t="s">
        <v>38</v>
      </c>
      <c r="H16" s="1" t="s">
        <v>64</v>
      </c>
      <c r="I16" s="1">
        <v>226.36</v>
      </c>
      <c r="J16" s="1">
        <v>2</v>
      </c>
      <c r="K16" s="1">
        <v>5</v>
      </c>
      <c r="L16" s="1" t="s">
        <v>52</v>
      </c>
      <c r="M16" s="1">
        <v>5</v>
      </c>
      <c r="N16" s="1">
        <v>5</v>
      </c>
      <c r="O16" s="1">
        <v>430.084</v>
      </c>
      <c r="P16" cm="1">
        <f t="array" ref="P16">_xlfn.IFS(O16&gt;=3000,20%,O16&gt;=1000,15%,O16&gt;=500,10%,O16&gt;=200,5%,O16&lt;200,0%)</f>
        <v>0.05</v>
      </c>
      <c r="Q16">
        <f t="shared" si="0"/>
        <v>21.504200000000001</v>
      </c>
      <c r="R16" t="str">
        <f t="shared" si="1"/>
        <v>Low Risk</v>
      </c>
    </row>
    <row r="17" spans="1:18" x14ac:dyDescent="0.35">
      <c r="A17" s="1" t="s">
        <v>71</v>
      </c>
      <c r="B17" s="2">
        <v>45422</v>
      </c>
      <c r="C17" s="1" t="s">
        <v>72</v>
      </c>
      <c r="D17" s="1">
        <v>57</v>
      </c>
      <c r="E17" s="1" t="s">
        <v>32</v>
      </c>
      <c r="F17" s="1" t="s">
        <v>33</v>
      </c>
      <c r="G17" s="1" t="s">
        <v>47</v>
      </c>
      <c r="H17" s="1" t="s">
        <v>28</v>
      </c>
      <c r="I17" s="1">
        <v>1029.77</v>
      </c>
      <c r="J17" s="1">
        <v>1</v>
      </c>
      <c r="K17" s="1">
        <v>20</v>
      </c>
      <c r="L17" s="1" t="s">
        <v>29</v>
      </c>
      <c r="M17" s="1">
        <v>1</v>
      </c>
      <c r="N17" s="1">
        <v>6</v>
      </c>
      <c r="O17" s="1">
        <v>823.81600000000003</v>
      </c>
      <c r="P17" cm="1">
        <f t="array" ref="P17">_xlfn.IFS(O17&gt;=3000,20%,O17&gt;=1000,15%,O17&gt;=500,10%,O17&gt;=200,5%,O17&lt;200,0%)</f>
        <v>0.1</v>
      </c>
      <c r="Q17">
        <f t="shared" si="0"/>
        <v>82.381600000000006</v>
      </c>
      <c r="R17" t="str">
        <f t="shared" si="1"/>
        <v>High Risk</v>
      </c>
    </row>
    <row r="18" spans="1:18" x14ac:dyDescent="0.35">
      <c r="A18" s="1" t="s">
        <v>73</v>
      </c>
      <c r="B18" s="2">
        <v>45441</v>
      </c>
      <c r="C18" s="1" t="s">
        <v>74</v>
      </c>
      <c r="D18" s="1">
        <v>27</v>
      </c>
      <c r="E18" s="1" t="s">
        <v>32</v>
      </c>
      <c r="F18" s="1" t="s">
        <v>27</v>
      </c>
      <c r="G18" s="1" t="s">
        <v>38</v>
      </c>
      <c r="H18" s="1" t="s">
        <v>55</v>
      </c>
      <c r="I18" s="1">
        <v>288.07</v>
      </c>
      <c r="J18" s="1">
        <v>4</v>
      </c>
      <c r="K18" s="1">
        <v>0</v>
      </c>
      <c r="L18" s="1" t="s">
        <v>43</v>
      </c>
      <c r="M18" s="1">
        <v>2</v>
      </c>
      <c r="N18" s="1">
        <v>8</v>
      </c>
      <c r="O18" s="1">
        <v>1152.28</v>
      </c>
      <c r="P18" cm="1">
        <f t="array" ref="P18">_xlfn.IFS(O18&gt;=3000,20%,O18&gt;=1000,15%,O18&gt;=500,10%,O18&gt;=200,5%,O18&lt;200,0%)</f>
        <v>0.15</v>
      </c>
      <c r="Q18">
        <f t="shared" si="0"/>
        <v>172.84199999999998</v>
      </c>
      <c r="R18" t="str">
        <f t="shared" si="1"/>
        <v>Medium Risk</v>
      </c>
    </row>
    <row r="19" spans="1:18" x14ac:dyDescent="0.35">
      <c r="A19" s="1" t="s">
        <v>75</v>
      </c>
      <c r="B19" s="2">
        <v>45600</v>
      </c>
      <c r="C19" s="1" t="s">
        <v>76</v>
      </c>
      <c r="D19" s="1">
        <v>46</v>
      </c>
      <c r="E19" s="1" t="s">
        <v>32</v>
      </c>
      <c r="F19" s="1" t="s">
        <v>46</v>
      </c>
      <c r="G19" s="1" t="s">
        <v>34</v>
      </c>
      <c r="H19" s="1" t="s">
        <v>35</v>
      </c>
      <c r="I19" s="1">
        <v>1007.71</v>
      </c>
      <c r="J19" s="1">
        <v>4</v>
      </c>
      <c r="K19" s="1">
        <v>10</v>
      </c>
      <c r="L19" s="1" t="s">
        <v>29</v>
      </c>
      <c r="M19" s="1">
        <v>3</v>
      </c>
      <c r="N19" s="1">
        <v>6</v>
      </c>
      <c r="O19" s="1">
        <v>3627.7559999999999</v>
      </c>
      <c r="P19" cm="1">
        <f t="array" ref="P19">_xlfn.IFS(O19&gt;=3000,20%,O19&gt;=1000,15%,O19&gt;=500,10%,O19&gt;=200,5%,O19&lt;200,0%)</f>
        <v>0.2</v>
      </c>
      <c r="Q19">
        <f t="shared" si="0"/>
        <v>725.55119999999999</v>
      </c>
      <c r="R19" t="str">
        <f t="shared" si="1"/>
        <v>Medium Risk</v>
      </c>
    </row>
    <row r="20" spans="1:18" x14ac:dyDescent="0.35">
      <c r="A20" s="1" t="s">
        <v>77</v>
      </c>
      <c r="B20" s="2">
        <v>45549</v>
      </c>
      <c r="C20" s="1" t="s">
        <v>78</v>
      </c>
      <c r="D20" s="1">
        <v>30</v>
      </c>
      <c r="E20" s="1" t="s">
        <v>32</v>
      </c>
      <c r="F20" s="1" t="s">
        <v>27</v>
      </c>
      <c r="G20" s="1" t="s">
        <v>22</v>
      </c>
      <c r="H20" s="1" t="s">
        <v>79</v>
      </c>
      <c r="I20" s="1">
        <v>349.55</v>
      </c>
      <c r="J20" s="1">
        <v>3</v>
      </c>
      <c r="K20" s="1">
        <v>10</v>
      </c>
      <c r="L20" s="1" t="s">
        <v>29</v>
      </c>
      <c r="M20" s="1">
        <v>4</v>
      </c>
      <c r="N20" s="1">
        <v>3</v>
      </c>
      <c r="O20" s="1">
        <v>943.78499999999997</v>
      </c>
      <c r="P20" cm="1">
        <f t="array" ref="P20">_xlfn.IFS(O20&gt;=3000,20%,O20&gt;=1000,15%,O20&gt;=500,10%,O20&gt;=200,5%,O20&lt;200,0%)</f>
        <v>0.1</v>
      </c>
      <c r="Q20">
        <f t="shared" si="0"/>
        <v>94.378500000000003</v>
      </c>
      <c r="R20" t="str">
        <f t="shared" si="1"/>
        <v>Low Risk</v>
      </c>
    </row>
    <row r="21" spans="1:18" x14ac:dyDescent="0.35">
      <c r="A21" s="1" t="s">
        <v>80</v>
      </c>
      <c r="B21" s="2">
        <v>45635</v>
      </c>
      <c r="C21" s="1" t="s">
        <v>81</v>
      </c>
      <c r="D21" s="1">
        <v>29</v>
      </c>
      <c r="E21" s="1" t="s">
        <v>20</v>
      </c>
      <c r="F21" s="1" t="s">
        <v>21</v>
      </c>
      <c r="G21" s="1" t="s">
        <v>22</v>
      </c>
      <c r="H21" s="1" t="s">
        <v>64</v>
      </c>
      <c r="I21" s="1">
        <v>778.6</v>
      </c>
      <c r="J21" s="1">
        <v>4</v>
      </c>
      <c r="K21" s="1">
        <v>0</v>
      </c>
      <c r="L21" s="1" t="s">
        <v>52</v>
      </c>
      <c r="M21" s="1">
        <v>1</v>
      </c>
      <c r="N21" s="1">
        <v>6</v>
      </c>
      <c r="O21" s="1">
        <v>3114.4</v>
      </c>
      <c r="P21" cm="1">
        <f t="array" ref="P21">_xlfn.IFS(O21&gt;=3000,20%,O21&gt;=1000,15%,O21&gt;=500,10%,O21&gt;=200,5%,O21&lt;200,0%)</f>
        <v>0.2</v>
      </c>
      <c r="Q21">
        <f t="shared" si="0"/>
        <v>622.88000000000011</v>
      </c>
      <c r="R21" t="str">
        <f t="shared" si="1"/>
        <v>High Risk</v>
      </c>
    </row>
    <row r="22" spans="1:18" x14ac:dyDescent="0.35">
      <c r="A22" s="1" t="s">
        <v>82</v>
      </c>
      <c r="B22" s="2">
        <v>45585</v>
      </c>
      <c r="C22" s="1" t="s">
        <v>83</v>
      </c>
      <c r="D22" s="1">
        <v>48</v>
      </c>
      <c r="E22" s="1" t="s">
        <v>20</v>
      </c>
      <c r="F22" s="1" t="s">
        <v>27</v>
      </c>
      <c r="G22" s="1" t="s">
        <v>47</v>
      </c>
      <c r="H22" s="1" t="s">
        <v>55</v>
      </c>
      <c r="I22" s="1">
        <v>839.1</v>
      </c>
      <c r="J22" s="1">
        <v>2</v>
      </c>
      <c r="K22" s="1">
        <v>10</v>
      </c>
      <c r="L22" s="1" t="s">
        <v>29</v>
      </c>
      <c r="M22" s="1">
        <v>2</v>
      </c>
      <c r="N22" s="1">
        <v>1</v>
      </c>
      <c r="O22" s="1">
        <v>1510.38</v>
      </c>
      <c r="P22" cm="1">
        <f t="array" ref="P22">_xlfn.IFS(O22&gt;=3000,20%,O22&gt;=1000,15%,O22&gt;=500,10%,O22&gt;=200,5%,O22&lt;200,0%)</f>
        <v>0.15</v>
      </c>
      <c r="Q22">
        <f t="shared" si="0"/>
        <v>226.55700000000002</v>
      </c>
      <c r="R22" t="str">
        <f t="shared" si="1"/>
        <v>Medium Risk</v>
      </c>
    </row>
    <row r="23" spans="1:18" x14ac:dyDescent="0.35">
      <c r="A23" s="1" t="s">
        <v>84</v>
      </c>
      <c r="B23" s="2">
        <v>45483</v>
      </c>
      <c r="C23" s="1" t="s">
        <v>85</v>
      </c>
      <c r="D23" s="1">
        <v>19</v>
      </c>
      <c r="E23" s="1" t="s">
        <v>32</v>
      </c>
      <c r="F23" s="1" t="s">
        <v>27</v>
      </c>
      <c r="G23" s="1" t="s">
        <v>34</v>
      </c>
      <c r="H23" s="1" t="s">
        <v>23</v>
      </c>
      <c r="I23" s="1">
        <v>624.92999999999995</v>
      </c>
      <c r="J23" s="1">
        <v>3</v>
      </c>
      <c r="K23" s="1">
        <v>15</v>
      </c>
      <c r="L23" s="1" t="s">
        <v>43</v>
      </c>
      <c r="M23" s="1">
        <v>5</v>
      </c>
      <c r="N23" s="1">
        <v>4</v>
      </c>
      <c r="O23" s="1">
        <v>1593.5715</v>
      </c>
      <c r="P23" cm="1">
        <f t="array" ref="P23">_xlfn.IFS(O23&gt;=3000,20%,O23&gt;=1000,15%,O23&gt;=500,10%,O23&gt;=200,5%,O23&lt;200,0%)</f>
        <v>0.15</v>
      </c>
      <c r="Q23">
        <f t="shared" si="0"/>
        <v>239.03572499999999</v>
      </c>
      <c r="R23" t="str">
        <f t="shared" si="1"/>
        <v>Medium Risk</v>
      </c>
    </row>
    <row r="24" spans="1:18" x14ac:dyDescent="0.35">
      <c r="A24" s="1" t="s">
        <v>86</v>
      </c>
      <c r="B24" s="2">
        <v>45568</v>
      </c>
      <c r="C24" s="1" t="s">
        <v>87</v>
      </c>
      <c r="D24" s="1">
        <v>52</v>
      </c>
      <c r="E24" s="1" t="s">
        <v>20</v>
      </c>
      <c r="F24" s="1" t="s">
        <v>51</v>
      </c>
      <c r="G24" s="1" t="s">
        <v>41</v>
      </c>
      <c r="H24" s="1" t="s">
        <v>55</v>
      </c>
      <c r="I24" s="1">
        <v>380.27</v>
      </c>
      <c r="J24" s="1">
        <v>4</v>
      </c>
      <c r="K24" s="1">
        <v>20</v>
      </c>
      <c r="L24" s="1" t="s">
        <v>29</v>
      </c>
      <c r="M24" s="1">
        <v>1</v>
      </c>
      <c r="N24" s="1">
        <v>6</v>
      </c>
      <c r="O24" s="1">
        <v>1216.864</v>
      </c>
      <c r="P24" cm="1">
        <f t="array" ref="P24">_xlfn.IFS(O24&gt;=3000,20%,O24&gt;=1000,15%,O24&gt;=500,10%,O24&gt;=200,5%,O24&lt;200,0%)</f>
        <v>0.15</v>
      </c>
      <c r="Q24">
        <f t="shared" si="0"/>
        <v>182.52959999999999</v>
      </c>
      <c r="R24" t="str">
        <f t="shared" si="1"/>
        <v>High Risk</v>
      </c>
    </row>
    <row r="25" spans="1:18" x14ac:dyDescent="0.35">
      <c r="A25" s="1" t="s">
        <v>88</v>
      </c>
      <c r="B25" s="2">
        <v>45452</v>
      </c>
      <c r="C25" s="1" t="s">
        <v>89</v>
      </c>
      <c r="D25" s="1">
        <v>40</v>
      </c>
      <c r="E25" s="1" t="s">
        <v>20</v>
      </c>
      <c r="F25" s="1" t="s">
        <v>33</v>
      </c>
      <c r="G25" s="1" t="s">
        <v>34</v>
      </c>
      <c r="H25" s="1" t="s">
        <v>42</v>
      </c>
      <c r="I25" s="1">
        <v>270.92</v>
      </c>
      <c r="J25" s="1">
        <v>2</v>
      </c>
      <c r="K25" s="1">
        <v>20</v>
      </c>
      <c r="L25" s="1" t="s">
        <v>43</v>
      </c>
      <c r="M25" s="1">
        <v>1</v>
      </c>
      <c r="N25" s="1">
        <v>7</v>
      </c>
      <c r="O25" s="1">
        <v>433.47199999999998</v>
      </c>
      <c r="P25" cm="1">
        <f t="array" ref="P25">_xlfn.IFS(O25&gt;=3000,20%,O25&gt;=1000,15%,O25&gt;=500,10%,O25&gt;=200,5%,O25&lt;200,0%)</f>
        <v>0.05</v>
      </c>
      <c r="Q25">
        <f t="shared" si="0"/>
        <v>21.6736</v>
      </c>
      <c r="R25" t="str">
        <f t="shared" si="1"/>
        <v>High Risk</v>
      </c>
    </row>
    <row r="26" spans="1:18" x14ac:dyDescent="0.35">
      <c r="A26" s="1" t="s">
        <v>90</v>
      </c>
      <c r="B26" s="2">
        <v>45605</v>
      </c>
      <c r="C26" s="1" t="s">
        <v>91</v>
      </c>
      <c r="D26" s="1">
        <v>34</v>
      </c>
      <c r="E26" s="1" t="s">
        <v>32</v>
      </c>
      <c r="F26" s="1" t="s">
        <v>46</v>
      </c>
      <c r="G26" s="1" t="s">
        <v>22</v>
      </c>
      <c r="H26" s="1" t="s">
        <v>42</v>
      </c>
      <c r="I26" s="1">
        <v>59.16</v>
      </c>
      <c r="J26" s="1">
        <v>4</v>
      </c>
      <c r="K26" s="1">
        <v>0</v>
      </c>
      <c r="L26" s="1" t="s">
        <v>43</v>
      </c>
      <c r="M26" s="1">
        <v>4</v>
      </c>
      <c r="N26" s="1">
        <v>3</v>
      </c>
      <c r="O26" s="1">
        <v>236.64</v>
      </c>
      <c r="P26" cm="1">
        <f t="array" ref="P26">_xlfn.IFS(O26&gt;=3000,20%,O26&gt;=1000,15%,O26&gt;=500,10%,O26&gt;=200,5%,O26&lt;200,0%)</f>
        <v>0.05</v>
      </c>
      <c r="Q26">
        <f t="shared" si="0"/>
        <v>11.832000000000001</v>
      </c>
      <c r="R26" t="str">
        <f t="shared" si="1"/>
        <v>Low Risk</v>
      </c>
    </row>
    <row r="27" spans="1:18" x14ac:dyDescent="0.35">
      <c r="A27" s="1" t="s">
        <v>92</v>
      </c>
      <c r="B27" s="2">
        <v>45313</v>
      </c>
      <c r="C27" s="1" t="s">
        <v>93</v>
      </c>
      <c r="D27" s="1">
        <v>43</v>
      </c>
      <c r="E27" s="1" t="s">
        <v>32</v>
      </c>
      <c r="F27" s="1" t="s">
        <v>27</v>
      </c>
      <c r="G27" s="1" t="s">
        <v>22</v>
      </c>
      <c r="H27" s="1" t="s">
        <v>79</v>
      </c>
      <c r="I27" s="1">
        <v>378.66</v>
      </c>
      <c r="J27" s="1">
        <v>4</v>
      </c>
      <c r="K27" s="1">
        <v>10</v>
      </c>
      <c r="L27" s="1" t="s">
        <v>52</v>
      </c>
      <c r="M27" s="1">
        <v>2</v>
      </c>
      <c r="N27" s="1">
        <v>9</v>
      </c>
      <c r="O27" s="1">
        <v>1363.1759999999999</v>
      </c>
      <c r="P27" cm="1">
        <f t="array" ref="P27">_xlfn.IFS(O27&gt;=3000,20%,O27&gt;=1000,15%,O27&gt;=500,10%,O27&gt;=200,5%,O27&lt;200,0%)</f>
        <v>0.15</v>
      </c>
      <c r="Q27">
        <f t="shared" si="0"/>
        <v>204.47639999999998</v>
      </c>
      <c r="R27" t="str">
        <f t="shared" si="1"/>
        <v>Medium Risk</v>
      </c>
    </row>
    <row r="28" spans="1:18" x14ac:dyDescent="0.35">
      <c r="A28" s="1" t="s">
        <v>94</v>
      </c>
      <c r="B28" s="2">
        <v>45544</v>
      </c>
      <c r="C28" s="1" t="s">
        <v>45</v>
      </c>
      <c r="D28" s="1">
        <v>25</v>
      </c>
      <c r="E28" s="1" t="s">
        <v>32</v>
      </c>
      <c r="F28" s="1" t="s">
        <v>46</v>
      </c>
      <c r="G28" s="1" t="s">
        <v>34</v>
      </c>
      <c r="H28" s="1" t="s">
        <v>55</v>
      </c>
      <c r="I28" s="1">
        <v>790.73</v>
      </c>
      <c r="J28" s="1">
        <v>1</v>
      </c>
      <c r="K28" s="1">
        <v>5</v>
      </c>
      <c r="L28" s="1" t="s">
        <v>24</v>
      </c>
      <c r="M28" s="1">
        <v>3</v>
      </c>
      <c r="N28" s="1">
        <v>7</v>
      </c>
      <c r="O28" s="1">
        <v>751.19349999999997</v>
      </c>
      <c r="P28" cm="1">
        <f t="array" ref="P28">_xlfn.IFS(O28&gt;=3000,20%,O28&gt;=1000,15%,O28&gt;=500,10%,O28&gt;=200,5%,O28&lt;200,0%)</f>
        <v>0.1</v>
      </c>
      <c r="Q28">
        <f t="shared" si="0"/>
        <v>75.119349999999997</v>
      </c>
      <c r="R28" t="str">
        <f t="shared" si="1"/>
        <v>Medium Risk</v>
      </c>
    </row>
    <row r="29" spans="1:18" x14ac:dyDescent="0.35">
      <c r="A29" s="1" t="s">
        <v>95</v>
      </c>
      <c r="B29" s="2">
        <v>45527</v>
      </c>
      <c r="C29" s="1" t="s">
        <v>83</v>
      </c>
      <c r="D29" s="1">
        <v>46</v>
      </c>
      <c r="E29" s="1" t="s">
        <v>20</v>
      </c>
      <c r="F29" s="1" t="s">
        <v>27</v>
      </c>
      <c r="G29" s="1" t="s">
        <v>34</v>
      </c>
      <c r="H29" s="1" t="s">
        <v>96</v>
      </c>
      <c r="I29" s="1">
        <v>1127.2</v>
      </c>
      <c r="J29" s="1">
        <v>4</v>
      </c>
      <c r="K29" s="1">
        <v>5</v>
      </c>
      <c r="L29" s="1" t="s">
        <v>24</v>
      </c>
      <c r="M29" s="1">
        <v>5</v>
      </c>
      <c r="N29" s="1">
        <v>1</v>
      </c>
      <c r="O29" s="1">
        <v>4283.3599999999997</v>
      </c>
      <c r="P29" cm="1">
        <f t="array" ref="P29">_xlfn.IFS(O29&gt;=3000,20%,O29&gt;=1000,15%,O29&gt;=500,10%,O29&gt;=200,5%,O29&lt;200,0%)</f>
        <v>0.2</v>
      </c>
      <c r="Q29">
        <f t="shared" si="0"/>
        <v>856.67200000000003</v>
      </c>
      <c r="R29" t="str">
        <f t="shared" si="1"/>
        <v>Low Risk</v>
      </c>
    </row>
    <row r="30" spans="1:18" x14ac:dyDescent="0.35">
      <c r="A30" s="1" t="s">
        <v>97</v>
      </c>
      <c r="B30" s="2">
        <v>45636</v>
      </c>
      <c r="C30" s="1" t="s">
        <v>98</v>
      </c>
      <c r="D30" s="1">
        <v>43</v>
      </c>
      <c r="E30" s="1" t="s">
        <v>20</v>
      </c>
      <c r="F30" s="1" t="s">
        <v>21</v>
      </c>
      <c r="G30" s="1" t="s">
        <v>22</v>
      </c>
      <c r="H30" s="1" t="s">
        <v>35</v>
      </c>
      <c r="I30" s="1">
        <v>1048.02</v>
      </c>
      <c r="J30" s="1">
        <v>4</v>
      </c>
      <c r="K30" s="1">
        <v>10</v>
      </c>
      <c r="L30" s="1" t="s">
        <v>52</v>
      </c>
      <c r="M30" s="1">
        <v>2</v>
      </c>
      <c r="N30" s="1">
        <v>2</v>
      </c>
      <c r="O30" s="1">
        <v>3772.8719999999998</v>
      </c>
      <c r="P30" cm="1">
        <f t="array" ref="P30">_xlfn.IFS(O30&gt;=3000,20%,O30&gt;=1000,15%,O30&gt;=500,10%,O30&gt;=200,5%,O30&lt;200,0%)</f>
        <v>0.2</v>
      </c>
      <c r="Q30">
        <f t="shared" si="0"/>
        <v>754.57439999999997</v>
      </c>
      <c r="R30" t="str">
        <f t="shared" si="1"/>
        <v>Medium Risk</v>
      </c>
    </row>
    <row r="31" spans="1:18" x14ac:dyDescent="0.35">
      <c r="A31" s="1" t="s">
        <v>99</v>
      </c>
      <c r="B31" s="2">
        <v>45340</v>
      </c>
      <c r="C31" s="1" t="s">
        <v>100</v>
      </c>
      <c r="D31" s="1">
        <v>27</v>
      </c>
      <c r="E31" s="1" t="s">
        <v>32</v>
      </c>
      <c r="F31" s="1" t="s">
        <v>27</v>
      </c>
      <c r="G31" s="1" t="s">
        <v>41</v>
      </c>
      <c r="H31" s="1" t="s">
        <v>42</v>
      </c>
      <c r="I31" s="1">
        <v>923.96</v>
      </c>
      <c r="J31" s="1">
        <v>2</v>
      </c>
      <c r="K31" s="1">
        <v>5</v>
      </c>
      <c r="L31" s="1" t="s">
        <v>29</v>
      </c>
      <c r="M31" s="1">
        <v>5</v>
      </c>
      <c r="N31" s="1">
        <v>1</v>
      </c>
      <c r="O31" s="1">
        <v>1755.5239999999999</v>
      </c>
      <c r="P31" cm="1">
        <f t="array" ref="P31">_xlfn.IFS(O31&gt;=3000,20%,O31&gt;=1000,15%,O31&gt;=500,10%,O31&gt;=200,5%,O31&lt;200,0%)</f>
        <v>0.15</v>
      </c>
      <c r="Q31">
        <f t="shared" si="0"/>
        <v>263.32859999999999</v>
      </c>
      <c r="R31" t="str">
        <f t="shared" si="1"/>
        <v>Low Risk</v>
      </c>
    </row>
    <row r="32" spans="1:18" x14ac:dyDescent="0.35">
      <c r="A32" s="1" t="s">
        <v>101</v>
      </c>
      <c r="B32" s="2">
        <v>45350</v>
      </c>
      <c r="C32" s="1" t="s">
        <v>102</v>
      </c>
      <c r="E32" s="1" t="s">
        <v>32</v>
      </c>
      <c r="G32" s="1" t="s">
        <v>47</v>
      </c>
      <c r="H32" s="1" t="s">
        <v>79</v>
      </c>
      <c r="I32" s="1">
        <v>950.37</v>
      </c>
      <c r="J32" s="1">
        <v>2</v>
      </c>
      <c r="K32" s="1">
        <v>0</v>
      </c>
      <c r="L32" s="1" t="s">
        <v>52</v>
      </c>
      <c r="N32" s="1">
        <v>9</v>
      </c>
      <c r="O32" s="1">
        <v>1900.74</v>
      </c>
      <c r="P32" cm="1">
        <f t="array" ref="P32">_xlfn.IFS(O32&gt;=3000,20%,O32&gt;=1000,15%,O32&gt;=500,10%,O32&gt;=200,5%,O32&lt;200,0%)</f>
        <v>0.15</v>
      </c>
      <c r="Q32">
        <f t="shared" si="0"/>
        <v>285.11099999999999</v>
      </c>
      <c r="R32" t="str">
        <f t="shared" si="1"/>
        <v>Missing Data</v>
      </c>
    </row>
    <row r="33" spans="1:18" x14ac:dyDescent="0.35">
      <c r="A33" s="1" t="s">
        <v>103</v>
      </c>
      <c r="B33" s="2">
        <v>45461</v>
      </c>
      <c r="C33" s="1" t="s">
        <v>104</v>
      </c>
      <c r="D33" s="1">
        <v>51</v>
      </c>
      <c r="E33" s="1" t="s">
        <v>32</v>
      </c>
      <c r="F33" s="1" t="s">
        <v>33</v>
      </c>
      <c r="G33" s="1" t="s">
        <v>47</v>
      </c>
      <c r="H33" s="1" t="s">
        <v>35</v>
      </c>
      <c r="I33" s="1">
        <v>804.68</v>
      </c>
      <c r="J33" s="1">
        <v>1</v>
      </c>
      <c r="K33" s="1">
        <v>0</v>
      </c>
      <c r="L33" s="1" t="s">
        <v>43</v>
      </c>
      <c r="M33" s="1">
        <v>4</v>
      </c>
      <c r="N33" s="1">
        <v>9</v>
      </c>
      <c r="O33" s="1">
        <v>804.68</v>
      </c>
      <c r="P33" cm="1">
        <f t="array" ref="P33">_xlfn.IFS(O33&gt;=3000,20%,O33&gt;=1000,15%,O33&gt;=500,10%,O33&gt;=200,5%,O33&lt;200,0%)</f>
        <v>0.1</v>
      </c>
      <c r="Q33">
        <f t="shared" si="0"/>
        <v>80.468000000000004</v>
      </c>
      <c r="R33" t="str">
        <f t="shared" si="1"/>
        <v>Low Risk</v>
      </c>
    </row>
    <row r="34" spans="1:18" x14ac:dyDescent="0.35">
      <c r="A34" s="1" t="s">
        <v>105</v>
      </c>
      <c r="B34" s="2">
        <v>45479</v>
      </c>
      <c r="C34" s="1" t="s">
        <v>85</v>
      </c>
      <c r="D34" s="1">
        <v>58</v>
      </c>
      <c r="E34" s="1" t="s">
        <v>20</v>
      </c>
      <c r="F34" s="1" t="s">
        <v>21</v>
      </c>
      <c r="G34" s="1" t="s">
        <v>34</v>
      </c>
      <c r="H34" s="1" t="s">
        <v>55</v>
      </c>
      <c r="I34" s="1">
        <v>327.14</v>
      </c>
      <c r="J34" s="1">
        <v>4</v>
      </c>
      <c r="K34" s="1">
        <v>10</v>
      </c>
      <c r="L34" s="1" t="s">
        <v>24</v>
      </c>
      <c r="M34" s="1">
        <v>4</v>
      </c>
      <c r="N34" s="1">
        <v>7</v>
      </c>
      <c r="O34" s="1">
        <v>1177.704</v>
      </c>
      <c r="P34" cm="1">
        <f t="array" ref="P34">_xlfn.IFS(O34&gt;=3000,20%,O34&gt;=1000,15%,O34&gt;=500,10%,O34&gt;=200,5%,O34&lt;200,0%)</f>
        <v>0.15</v>
      </c>
      <c r="Q34">
        <f t="shared" si="0"/>
        <v>176.65559999999999</v>
      </c>
      <c r="R34" t="str">
        <f t="shared" si="1"/>
        <v>Low Risk</v>
      </c>
    </row>
    <row r="35" spans="1:18" x14ac:dyDescent="0.35">
      <c r="A35" s="1" t="s">
        <v>106</v>
      </c>
      <c r="B35" s="2">
        <v>45562</v>
      </c>
      <c r="C35" s="1" t="s">
        <v>107</v>
      </c>
      <c r="D35" s="1">
        <v>24</v>
      </c>
      <c r="E35" s="1" t="s">
        <v>20</v>
      </c>
      <c r="F35" s="1" t="s">
        <v>27</v>
      </c>
      <c r="G35" s="1" t="s">
        <v>47</v>
      </c>
      <c r="H35" s="1" t="s">
        <v>55</v>
      </c>
      <c r="I35" s="1">
        <v>1090.49</v>
      </c>
      <c r="J35" s="1">
        <v>1</v>
      </c>
      <c r="K35" s="1">
        <v>5</v>
      </c>
      <c r="L35" s="1" t="s">
        <v>52</v>
      </c>
      <c r="N35" s="1">
        <v>3</v>
      </c>
      <c r="O35" s="1">
        <v>1035.9655</v>
      </c>
      <c r="P35" cm="1">
        <f t="array" ref="P35">_xlfn.IFS(O35&gt;=3000,20%,O35&gt;=1000,15%,O35&gt;=500,10%,O35&gt;=200,5%,O35&lt;200,0%)</f>
        <v>0.15</v>
      </c>
      <c r="Q35">
        <f t="shared" si="0"/>
        <v>155.394825</v>
      </c>
      <c r="R35" t="str">
        <f t="shared" si="1"/>
        <v>Missing Data</v>
      </c>
    </row>
    <row r="36" spans="1:18" x14ac:dyDescent="0.35">
      <c r="A36" s="1" t="s">
        <v>108</v>
      </c>
      <c r="B36" s="2">
        <v>45481</v>
      </c>
      <c r="C36" s="1" t="s">
        <v>109</v>
      </c>
      <c r="D36" s="1">
        <v>21</v>
      </c>
      <c r="E36" s="1" t="s">
        <v>20</v>
      </c>
      <c r="F36" s="1" t="s">
        <v>46</v>
      </c>
      <c r="G36" s="1" t="s">
        <v>22</v>
      </c>
      <c r="H36" s="1" t="s">
        <v>48</v>
      </c>
      <c r="I36" s="1">
        <v>811.46</v>
      </c>
      <c r="J36" s="1">
        <v>4</v>
      </c>
      <c r="K36" s="1">
        <v>0</v>
      </c>
      <c r="L36" s="1" t="s">
        <v>29</v>
      </c>
      <c r="M36" s="1">
        <v>3</v>
      </c>
      <c r="N36" s="1">
        <v>5</v>
      </c>
      <c r="O36" s="1">
        <v>3245.84</v>
      </c>
      <c r="P36" cm="1">
        <f t="array" ref="P36">_xlfn.IFS(O36&gt;=3000,20%,O36&gt;=1000,15%,O36&gt;=500,10%,O36&gt;=200,5%,O36&lt;200,0%)</f>
        <v>0.2</v>
      </c>
      <c r="Q36">
        <f t="shared" si="0"/>
        <v>649.16800000000012</v>
      </c>
      <c r="R36" t="str">
        <f t="shared" si="1"/>
        <v>Medium Risk</v>
      </c>
    </row>
    <row r="37" spans="1:18" x14ac:dyDescent="0.35">
      <c r="A37" s="1" t="s">
        <v>110</v>
      </c>
      <c r="B37" s="2">
        <v>45466</v>
      </c>
      <c r="C37" s="1" t="s">
        <v>111</v>
      </c>
      <c r="D37" s="1">
        <v>28</v>
      </c>
      <c r="E37" s="1" t="s">
        <v>20</v>
      </c>
      <c r="F37" s="1" t="s">
        <v>21</v>
      </c>
      <c r="G37" s="1" t="s">
        <v>22</v>
      </c>
      <c r="H37" s="1" t="s">
        <v>79</v>
      </c>
      <c r="I37" s="1">
        <v>681.32</v>
      </c>
      <c r="J37" s="1">
        <v>3</v>
      </c>
      <c r="K37" s="1">
        <v>0</v>
      </c>
      <c r="L37" s="1" t="s">
        <v>52</v>
      </c>
      <c r="M37" s="1">
        <v>4</v>
      </c>
      <c r="N37" s="1">
        <v>4</v>
      </c>
      <c r="O37" s="1">
        <v>2043.96</v>
      </c>
      <c r="P37" cm="1">
        <f t="array" ref="P37">_xlfn.IFS(O37&gt;=3000,20%,O37&gt;=1000,15%,O37&gt;=500,10%,O37&gt;=200,5%,O37&lt;200,0%)</f>
        <v>0.15</v>
      </c>
      <c r="Q37">
        <f t="shared" si="0"/>
        <v>306.59399999999999</v>
      </c>
      <c r="R37" t="str">
        <f t="shared" si="1"/>
        <v>Low Risk</v>
      </c>
    </row>
    <row r="38" spans="1:18" x14ac:dyDescent="0.35">
      <c r="A38" s="1" t="s">
        <v>112</v>
      </c>
      <c r="B38" s="2">
        <v>45342</v>
      </c>
      <c r="C38" s="1" t="s">
        <v>113</v>
      </c>
      <c r="D38" s="1">
        <v>46</v>
      </c>
      <c r="E38" s="1" t="s">
        <v>32</v>
      </c>
      <c r="F38" s="1" t="s">
        <v>21</v>
      </c>
      <c r="G38" s="1" t="s">
        <v>34</v>
      </c>
      <c r="H38" s="1" t="s">
        <v>42</v>
      </c>
      <c r="I38" s="1">
        <v>150.97</v>
      </c>
      <c r="J38" s="1">
        <v>3</v>
      </c>
      <c r="K38" s="1">
        <v>15</v>
      </c>
      <c r="L38" s="1" t="s">
        <v>24</v>
      </c>
      <c r="M38" s="1">
        <v>1</v>
      </c>
      <c r="N38" s="1">
        <v>7</v>
      </c>
      <c r="O38" s="1">
        <v>384.9735</v>
      </c>
      <c r="P38" cm="1">
        <f t="array" ref="P38">_xlfn.IFS(O38&gt;=3000,20%,O38&gt;=1000,15%,O38&gt;=500,10%,O38&gt;=200,5%,O38&lt;200,0%)</f>
        <v>0.05</v>
      </c>
      <c r="Q38">
        <f t="shared" si="0"/>
        <v>19.248675000000002</v>
      </c>
      <c r="R38" t="str">
        <f t="shared" si="1"/>
        <v>High Risk</v>
      </c>
    </row>
    <row r="39" spans="1:18" x14ac:dyDescent="0.35">
      <c r="A39" s="1" t="s">
        <v>114</v>
      </c>
      <c r="B39" s="2">
        <v>45655</v>
      </c>
      <c r="C39" s="1" t="s">
        <v>76</v>
      </c>
      <c r="D39" s="1">
        <v>53</v>
      </c>
      <c r="E39" s="1" t="s">
        <v>32</v>
      </c>
      <c r="F39" s="1" t="s">
        <v>27</v>
      </c>
      <c r="G39" s="1" t="s">
        <v>34</v>
      </c>
      <c r="H39" s="1" t="s">
        <v>96</v>
      </c>
      <c r="I39" s="1">
        <v>547.53</v>
      </c>
      <c r="J39" s="1">
        <v>1</v>
      </c>
      <c r="K39" s="1">
        <v>15</v>
      </c>
      <c r="L39" s="1" t="s">
        <v>52</v>
      </c>
      <c r="M39" s="1">
        <v>3</v>
      </c>
      <c r="N39" s="1">
        <v>9</v>
      </c>
      <c r="O39" s="1">
        <v>465.40050000000002</v>
      </c>
      <c r="P39" cm="1">
        <f t="array" ref="P39">_xlfn.IFS(O39&gt;=3000,20%,O39&gt;=1000,15%,O39&gt;=500,10%,O39&gt;=200,5%,O39&lt;200,0%)</f>
        <v>0.05</v>
      </c>
      <c r="Q39">
        <f t="shared" si="0"/>
        <v>23.270025000000004</v>
      </c>
      <c r="R39" t="str">
        <f t="shared" si="1"/>
        <v>Medium Risk</v>
      </c>
    </row>
    <row r="40" spans="1:18" x14ac:dyDescent="0.35">
      <c r="A40" s="1" t="s">
        <v>115</v>
      </c>
      <c r="B40" s="2">
        <v>45346</v>
      </c>
      <c r="C40" s="1" t="s">
        <v>116</v>
      </c>
      <c r="D40" s="1">
        <v>42</v>
      </c>
      <c r="E40" s="1" t="s">
        <v>32</v>
      </c>
      <c r="F40" s="1" t="s">
        <v>21</v>
      </c>
      <c r="G40" s="1" t="s">
        <v>34</v>
      </c>
      <c r="H40" s="1" t="s">
        <v>55</v>
      </c>
      <c r="I40" s="1">
        <v>563.22</v>
      </c>
      <c r="J40" s="1">
        <v>1</v>
      </c>
      <c r="K40" s="1">
        <v>0</v>
      </c>
      <c r="L40" s="1" t="s">
        <v>52</v>
      </c>
      <c r="M40" s="1">
        <v>2</v>
      </c>
      <c r="N40" s="1">
        <v>2</v>
      </c>
      <c r="O40" s="1">
        <v>563.22</v>
      </c>
      <c r="P40" cm="1">
        <f t="array" ref="P40">_xlfn.IFS(O40&gt;=3000,20%,O40&gt;=1000,15%,O40&gt;=500,10%,O40&gt;=200,5%,O40&lt;200,0%)</f>
        <v>0.1</v>
      </c>
      <c r="Q40">
        <f t="shared" si="0"/>
        <v>56.322000000000003</v>
      </c>
      <c r="R40" t="str">
        <f t="shared" si="1"/>
        <v>Medium Risk</v>
      </c>
    </row>
    <row r="41" spans="1:18" x14ac:dyDescent="0.35">
      <c r="A41" s="1" t="s">
        <v>117</v>
      </c>
      <c r="B41" s="2">
        <v>45535</v>
      </c>
      <c r="C41" s="1" t="s">
        <v>118</v>
      </c>
      <c r="D41" s="1">
        <v>38</v>
      </c>
      <c r="E41" s="1" t="s">
        <v>32</v>
      </c>
      <c r="F41" s="1" t="s">
        <v>46</v>
      </c>
      <c r="G41" s="1" t="s">
        <v>41</v>
      </c>
      <c r="H41" s="1" t="s">
        <v>96</v>
      </c>
      <c r="I41" s="1">
        <v>1040.19</v>
      </c>
      <c r="J41" s="1">
        <v>1</v>
      </c>
      <c r="K41" s="1">
        <v>10</v>
      </c>
      <c r="L41" s="1" t="s">
        <v>24</v>
      </c>
      <c r="M41" s="1">
        <v>4</v>
      </c>
      <c r="N41" s="1">
        <v>8</v>
      </c>
      <c r="O41" s="1">
        <v>936.17100000000005</v>
      </c>
      <c r="P41" cm="1">
        <f t="array" ref="P41">_xlfn.IFS(O41&gt;=3000,20%,O41&gt;=1000,15%,O41&gt;=500,10%,O41&gt;=200,5%,O41&lt;200,0%)</f>
        <v>0.1</v>
      </c>
      <c r="Q41">
        <f t="shared" si="0"/>
        <v>93.617100000000008</v>
      </c>
      <c r="R41" t="str">
        <f t="shared" si="1"/>
        <v>Low Risk</v>
      </c>
    </row>
    <row r="42" spans="1:18" x14ac:dyDescent="0.35">
      <c r="A42" s="1" t="s">
        <v>119</v>
      </c>
      <c r="B42" s="2">
        <v>45611</v>
      </c>
      <c r="C42" s="1" t="s">
        <v>54</v>
      </c>
      <c r="D42" s="1">
        <v>53</v>
      </c>
      <c r="E42" s="1" t="s">
        <v>20</v>
      </c>
      <c r="F42" s="1" t="s">
        <v>21</v>
      </c>
      <c r="G42" s="1" t="s">
        <v>47</v>
      </c>
      <c r="H42" s="1" t="s">
        <v>55</v>
      </c>
      <c r="I42" s="1">
        <v>665.04</v>
      </c>
      <c r="J42" s="1">
        <v>2</v>
      </c>
      <c r="K42" s="1">
        <v>20</v>
      </c>
      <c r="L42" s="1" t="s">
        <v>43</v>
      </c>
      <c r="M42" s="1">
        <v>3</v>
      </c>
      <c r="N42" s="1">
        <v>9</v>
      </c>
      <c r="O42" s="1">
        <v>1064.0640000000001</v>
      </c>
      <c r="P42" cm="1">
        <f t="array" ref="P42">_xlfn.IFS(O42&gt;=3000,20%,O42&gt;=1000,15%,O42&gt;=500,10%,O42&gt;=200,5%,O42&lt;200,0%)</f>
        <v>0.15</v>
      </c>
      <c r="Q42">
        <f t="shared" si="0"/>
        <v>159.6096</v>
      </c>
      <c r="R42" t="str">
        <f t="shared" si="1"/>
        <v>Medium Risk</v>
      </c>
    </row>
    <row r="43" spans="1:18" x14ac:dyDescent="0.35">
      <c r="A43" s="1" t="s">
        <v>120</v>
      </c>
      <c r="B43" s="2">
        <v>45422</v>
      </c>
      <c r="C43" s="1" t="s">
        <v>89</v>
      </c>
      <c r="D43" s="1">
        <v>27</v>
      </c>
      <c r="E43" s="1" t="s">
        <v>20</v>
      </c>
      <c r="F43" s="1" t="s">
        <v>46</v>
      </c>
      <c r="G43" s="1" t="s">
        <v>34</v>
      </c>
      <c r="H43" s="1" t="s">
        <v>42</v>
      </c>
      <c r="I43" s="1">
        <v>468.87</v>
      </c>
      <c r="J43" s="1">
        <v>2</v>
      </c>
      <c r="K43" s="1">
        <v>20</v>
      </c>
      <c r="L43" s="1" t="s">
        <v>43</v>
      </c>
      <c r="M43" s="1">
        <v>1</v>
      </c>
      <c r="N43" s="1">
        <v>9</v>
      </c>
      <c r="O43" s="1">
        <v>750.19200000000001</v>
      </c>
      <c r="P43" cm="1">
        <f t="array" ref="P43">_xlfn.IFS(O43&gt;=3000,20%,O43&gt;=1000,15%,O43&gt;=500,10%,O43&gt;=200,5%,O43&lt;200,0%)</f>
        <v>0.1</v>
      </c>
      <c r="Q43">
        <f t="shared" si="0"/>
        <v>75.019199999999998</v>
      </c>
      <c r="R43" t="str">
        <f t="shared" si="1"/>
        <v>High Risk</v>
      </c>
    </row>
    <row r="44" spans="1:18" x14ac:dyDescent="0.35">
      <c r="A44" s="1" t="s">
        <v>121</v>
      </c>
      <c r="B44" s="2">
        <v>45598</v>
      </c>
      <c r="C44" s="1" t="s">
        <v>122</v>
      </c>
      <c r="D44" s="1">
        <v>54</v>
      </c>
      <c r="E44" s="1" t="s">
        <v>32</v>
      </c>
      <c r="F44" s="1" t="s">
        <v>27</v>
      </c>
      <c r="G44" s="1" t="s">
        <v>38</v>
      </c>
      <c r="H44" s="1" t="s">
        <v>35</v>
      </c>
      <c r="I44" s="1">
        <v>1172.6199999999999</v>
      </c>
      <c r="J44" s="1">
        <v>2</v>
      </c>
      <c r="K44" s="1">
        <v>0</v>
      </c>
      <c r="L44" s="1" t="s">
        <v>24</v>
      </c>
      <c r="N44" s="1">
        <v>7</v>
      </c>
      <c r="O44" s="1">
        <v>2345.2399999999998</v>
      </c>
      <c r="P44" cm="1">
        <f t="array" ref="P44">_xlfn.IFS(O44&gt;=3000,20%,O44&gt;=1000,15%,O44&gt;=500,10%,O44&gt;=200,5%,O44&lt;200,0%)</f>
        <v>0.15</v>
      </c>
      <c r="Q44">
        <f t="shared" si="0"/>
        <v>351.78599999999994</v>
      </c>
      <c r="R44" t="str">
        <f t="shared" si="1"/>
        <v>Missing Data</v>
      </c>
    </row>
    <row r="45" spans="1:18" x14ac:dyDescent="0.35">
      <c r="A45" s="1" t="s">
        <v>123</v>
      </c>
      <c r="B45" s="2">
        <v>45426</v>
      </c>
      <c r="C45" s="1" t="s">
        <v>124</v>
      </c>
      <c r="D45" s="1">
        <v>26</v>
      </c>
      <c r="E45" s="1" t="s">
        <v>32</v>
      </c>
      <c r="F45" s="1" t="s">
        <v>33</v>
      </c>
      <c r="G45" s="1" t="s">
        <v>38</v>
      </c>
      <c r="H45" s="1" t="s">
        <v>125</v>
      </c>
      <c r="I45" s="1">
        <v>150.65</v>
      </c>
      <c r="J45" s="1">
        <v>1</v>
      </c>
      <c r="K45" s="1">
        <v>0</v>
      </c>
      <c r="L45" s="1" t="s">
        <v>52</v>
      </c>
      <c r="M45" s="1">
        <v>5</v>
      </c>
      <c r="N45" s="1">
        <v>9</v>
      </c>
      <c r="O45" s="1">
        <v>150.65</v>
      </c>
      <c r="P45" cm="1">
        <f t="array" ref="P45">_xlfn.IFS(O45&gt;=3000,20%,O45&gt;=1000,15%,O45&gt;=500,10%,O45&gt;=200,5%,O45&lt;200,0%)</f>
        <v>0</v>
      </c>
      <c r="Q45">
        <f t="shared" si="0"/>
        <v>0</v>
      </c>
      <c r="R45" t="str">
        <f t="shared" si="1"/>
        <v>Low Risk</v>
      </c>
    </row>
    <row r="46" spans="1:18" x14ac:dyDescent="0.35">
      <c r="A46" s="1" t="s">
        <v>126</v>
      </c>
      <c r="B46" s="2">
        <v>45312</v>
      </c>
      <c r="C46" s="1" t="s">
        <v>26</v>
      </c>
      <c r="D46" s="1">
        <v>41</v>
      </c>
      <c r="E46" s="1" t="s">
        <v>20</v>
      </c>
      <c r="F46" s="1" t="s">
        <v>21</v>
      </c>
      <c r="G46" s="1" t="s">
        <v>22</v>
      </c>
      <c r="H46" s="1" t="s">
        <v>35</v>
      </c>
      <c r="I46" s="1">
        <v>518.61</v>
      </c>
      <c r="J46" s="1">
        <v>4</v>
      </c>
      <c r="K46" s="1">
        <v>0</v>
      </c>
      <c r="L46" s="1" t="s">
        <v>24</v>
      </c>
      <c r="M46" s="1">
        <v>5</v>
      </c>
      <c r="N46" s="1">
        <v>9</v>
      </c>
      <c r="O46" s="1">
        <v>2074.44</v>
      </c>
      <c r="P46" cm="1">
        <f t="array" ref="P46">_xlfn.IFS(O46&gt;=3000,20%,O46&gt;=1000,15%,O46&gt;=500,10%,O46&gt;=200,5%,O46&lt;200,0%)</f>
        <v>0.15</v>
      </c>
      <c r="Q46">
        <f t="shared" si="0"/>
        <v>311.166</v>
      </c>
      <c r="R46" t="str">
        <f t="shared" si="1"/>
        <v>Low Risk</v>
      </c>
    </row>
    <row r="47" spans="1:18" x14ac:dyDescent="0.35">
      <c r="A47" s="1" t="s">
        <v>127</v>
      </c>
      <c r="B47" s="2">
        <v>45620</v>
      </c>
      <c r="C47" s="1" t="s">
        <v>128</v>
      </c>
      <c r="D47" s="1">
        <v>52</v>
      </c>
      <c r="E47" s="1" t="s">
        <v>32</v>
      </c>
      <c r="F47" s="1" t="s">
        <v>33</v>
      </c>
      <c r="G47" s="1" t="s">
        <v>47</v>
      </c>
      <c r="H47" s="1" t="s">
        <v>55</v>
      </c>
      <c r="I47" s="1">
        <v>69.59</v>
      </c>
      <c r="J47" s="1">
        <v>3</v>
      </c>
      <c r="K47" s="1">
        <v>10</v>
      </c>
      <c r="L47" s="1" t="s">
        <v>43</v>
      </c>
      <c r="M47" s="1">
        <v>1</v>
      </c>
      <c r="N47" s="1">
        <v>3</v>
      </c>
      <c r="O47" s="1">
        <v>187.893</v>
      </c>
      <c r="P47" cm="1">
        <f t="array" ref="P47">_xlfn.IFS(O47&gt;=3000,20%,O47&gt;=1000,15%,O47&gt;=500,10%,O47&gt;=200,5%,O47&lt;200,0%)</f>
        <v>0</v>
      </c>
      <c r="Q47">
        <f t="shared" si="0"/>
        <v>0</v>
      </c>
      <c r="R47" t="str">
        <f t="shared" si="1"/>
        <v>High Risk</v>
      </c>
    </row>
    <row r="48" spans="1:18" x14ac:dyDescent="0.35">
      <c r="A48" s="1" t="s">
        <v>129</v>
      </c>
      <c r="B48" s="2">
        <v>45458</v>
      </c>
      <c r="C48" s="1" t="s">
        <v>130</v>
      </c>
      <c r="D48" s="1">
        <v>52</v>
      </c>
      <c r="E48" s="1" t="s">
        <v>20</v>
      </c>
      <c r="F48" s="1" t="s">
        <v>46</v>
      </c>
      <c r="G48" s="1" t="s">
        <v>34</v>
      </c>
      <c r="H48" s="1" t="s">
        <v>28</v>
      </c>
      <c r="I48" s="1">
        <v>893.09</v>
      </c>
      <c r="J48" s="1">
        <v>1</v>
      </c>
      <c r="K48" s="1">
        <v>15</v>
      </c>
      <c r="L48" s="1" t="s">
        <v>29</v>
      </c>
      <c r="M48" s="1">
        <v>1</v>
      </c>
      <c r="N48" s="1">
        <v>4</v>
      </c>
      <c r="O48" s="1">
        <v>759.12649999999996</v>
      </c>
      <c r="P48" cm="1">
        <f t="array" ref="P48">_xlfn.IFS(O48&gt;=3000,20%,O48&gt;=1000,15%,O48&gt;=500,10%,O48&gt;=200,5%,O48&lt;200,0%)</f>
        <v>0.1</v>
      </c>
      <c r="Q48">
        <f t="shared" si="0"/>
        <v>75.912649999999999</v>
      </c>
      <c r="R48" t="str">
        <f t="shared" si="1"/>
        <v>High Risk</v>
      </c>
    </row>
    <row r="49" spans="1:18" x14ac:dyDescent="0.35">
      <c r="A49" s="1" t="s">
        <v>131</v>
      </c>
      <c r="B49" s="2">
        <v>45565</v>
      </c>
      <c r="C49" s="1" t="s">
        <v>132</v>
      </c>
      <c r="D49" s="1">
        <v>53</v>
      </c>
      <c r="E49" s="1" t="s">
        <v>32</v>
      </c>
      <c r="F49" s="1" t="s">
        <v>21</v>
      </c>
      <c r="G49" s="1" t="s">
        <v>38</v>
      </c>
      <c r="H49" s="1" t="s">
        <v>125</v>
      </c>
      <c r="I49" s="1">
        <v>1103.33</v>
      </c>
      <c r="J49" s="1">
        <v>2</v>
      </c>
      <c r="K49" s="1">
        <v>0</v>
      </c>
      <c r="L49" s="1" t="s">
        <v>52</v>
      </c>
      <c r="M49" s="1">
        <v>5</v>
      </c>
      <c r="N49" s="1">
        <v>2</v>
      </c>
      <c r="O49" s="1">
        <v>2206.66</v>
      </c>
      <c r="P49" cm="1">
        <f t="array" ref="P49">_xlfn.IFS(O49&gt;=3000,20%,O49&gt;=1000,15%,O49&gt;=500,10%,O49&gt;=200,5%,O49&lt;200,0%)</f>
        <v>0.15</v>
      </c>
      <c r="Q49">
        <f t="shared" si="0"/>
        <v>330.99899999999997</v>
      </c>
      <c r="R49" t="str">
        <f t="shared" si="1"/>
        <v>Low Risk</v>
      </c>
    </row>
    <row r="50" spans="1:18" x14ac:dyDescent="0.35">
      <c r="A50" s="1" t="s">
        <v>133</v>
      </c>
      <c r="B50" s="2">
        <v>45380</v>
      </c>
      <c r="C50" s="1" t="s">
        <v>134</v>
      </c>
      <c r="D50" s="1">
        <v>35</v>
      </c>
      <c r="E50" s="1" t="s">
        <v>32</v>
      </c>
      <c r="F50" s="1" t="s">
        <v>51</v>
      </c>
      <c r="G50" s="1" t="s">
        <v>47</v>
      </c>
      <c r="H50" s="1" t="s">
        <v>125</v>
      </c>
      <c r="I50" s="1">
        <v>350.44</v>
      </c>
      <c r="J50" s="1">
        <v>2</v>
      </c>
      <c r="K50" s="1">
        <v>0</v>
      </c>
      <c r="L50" s="1" t="s">
        <v>43</v>
      </c>
      <c r="N50" s="1">
        <v>3</v>
      </c>
      <c r="O50" s="1">
        <v>700.88</v>
      </c>
      <c r="P50" cm="1">
        <f t="array" ref="P50">_xlfn.IFS(O50&gt;=3000,20%,O50&gt;=1000,15%,O50&gt;=500,10%,O50&gt;=200,5%,O50&lt;200,0%)</f>
        <v>0.1</v>
      </c>
      <c r="Q50">
        <f t="shared" si="0"/>
        <v>70.088000000000008</v>
      </c>
      <c r="R50" t="str">
        <f t="shared" si="1"/>
        <v>Missing Data</v>
      </c>
    </row>
    <row r="51" spans="1:18" x14ac:dyDescent="0.35">
      <c r="A51" s="1" t="s">
        <v>135</v>
      </c>
      <c r="B51" s="2">
        <v>45607</v>
      </c>
      <c r="C51" s="1" t="s">
        <v>81</v>
      </c>
      <c r="D51" s="1">
        <v>56</v>
      </c>
      <c r="E51" s="1" t="s">
        <v>32</v>
      </c>
      <c r="F51" s="1" t="s">
        <v>33</v>
      </c>
      <c r="G51" s="1" t="s">
        <v>22</v>
      </c>
      <c r="H51" s="1" t="s">
        <v>96</v>
      </c>
      <c r="I51" s="1">
        <v>1032.8399999999999</v>
      </c>
      <c r="J51" s="1">
        <v>1</v>
      </c>
      <c r="K51" s="1">
        <v>5</v>
      </c>
      <c r="L51" s="1" t="s">
        <v>52</v>
      </c>
      <c r="M51" s="1">
        <v>3</v>
      </c>
      <c r="N51" s="1">
        <v>5</v>
      </c>
      <c r="O51" s="1">
        <v>981.19799999999998</v>
      </c>
      <c r="P51" cm="1">
        <f t="array" ref="P51">_xlfn.IFS(O51&gt;=3000,20%,O51&gt;=1000,15%,O51&gt;=500,10%,O51&gt;=200,5%,O51&lt;200,0%)</f>
        <v>0.1</v>
      </c>
      <c r="Q51">
        <f t="shared" si="0"/>
        <v>98.119799999999998</v>
      </c>
      <c r="R51" t="str">
        <f t="shared" si="1"/>
        <v>Medium Risk</v>
      </c>
    </row>
    <row r="52" spans="1:18" x14ac:dyDescent="0.35">
      <c r="A52" s="1" t="s">
        <v>136</v>
      </c>
      <c r="B52" s="2">
        <v>45305</v>
      </c>
      <c r="C52" s="1" t="s">
        <v>137</v>
      </c>
      <c r="D52" s="1">
        <v>49</v>
      </c>
      <c r="E52" s="1" t="s">
        <v>32</v>
      </c>
      <c r="F52" s="1" t="s">
        <v>21</v>
      </c>
      <c r="G52" s="1" t="s">
        <v>41</v>
      </c>
      <c r="H52" s="1" t="s">
        <v>79</v>
      </c>
      <c r="I52" s="1">
        <v>364.82</v>
      </c>
      <c r="J52" s="1">
        <v>1</v>
      </c>
      <c r="K52" s="1">
        <v>10</v>
      </c>
      <c r="L52" s="1" t="s">
        <v>24</v>
      </c>
      <c r="M52" s="1">
        <v>5</v>
      </c>
      <c r="N52" s="1">
        <v>5</v>
      </c>
      <c r="O52" s="1">
        <v>328.33800000000002</v>
      </c>
      <c r="P52" cm="1">
        <f t="array" ref="P52">_xlfn.IFS(O52&gt;=3000,20%,O52&gt;=1000,15%,O52&gt;=500,10%,O52&gt;=200,5%,O52&lt;200,0%)</f>
        <v>0.05</v>
      </c>
      <c r="Q52">
        <f t="shared" si="0"/>
        <v>16.416900000000002</v>
      </c>
      <c r="R52" t="str">
        <f t="shared" si="1"/>
        <v>Low Risk</v>
      </c>
    </row>
    <row r="53" spans="1:18" x14ac:dyDescent="0.35">
      <c r="A53" s="1" t="s">
        <v>138</v>
      </c>
      <c r="B53" s="2">
        <v>45533</v>
      </c>
      <c r="C53" s="1" t="s">
        <v>26</v>
      </c>
      <c r="D53" s="1">
        <v>41</v>
      </c>
      <c r="E53" s="1" t="s">
        <v>32</v>
      </c>
      <c r="F53" s="1" t="s">
        <v>33</v>
      </c>
      <c r="G53" s="1" t="s">
        <v>47</v>
      </c>
      <c r="H53" s="1" t="s">
        <v>96</v>
      </c>
      <c r="I53" s="1">
        <v>1094.71</v>
      </c>
      <c r="J53" s="1">
        <v>2</v>
      </c>
      <c r="K53" s="1">
        <v>0</v>
      </c>
      <c r="L53" s="1" t="s">
        <v>29</v>
      </c>
      <c r="M53" s="1">
        <v>1</v>
      </c>
      <c r="N53" s="1">
        <v>6</v>
      </c>
      <c r="O53" s="1">
        <v>2189.42</v>
      </c>
      <c r="P53" cm="1">
        <f t="array" ref="P53">_xlfn.IFS(O53&gt;=3000,20%,O53&gt;=1000,15%,O53&gt;=500,10%,O53&gt;=200,5%,O53&lt;200,0%)</f>
        <v>0.15</v>
      </c>
      <c r="Q53">
        <f t="shared" si="0"/>
        <v>328.41300000000001</v>
      </c>
      <c r="R53" t="str">
        <f t="shared" si="1"/>
        <v>High Risk</v>
      </c>
    </row>
    <row r="54" spans="1:18" x14ac:dyDescent="0.35">
      <c r="A54" s="1" t="s">
        <v>139</v>
      </c>
      <c r="B54" s="2">
        <v>45556</v>
      </c>
      <c r="C54" s="1" t="s">
        <v>140</v>
      </c>
      <c r="D54" s="1">
        <v>40</v>
      </c>
      <c r="E54" s="1" t="s">
        <v>32</v>
      </c>
      <c r="F54" s="1" t="s">
        <v>21</v>
      </c>
      <c r="G54" s="1" t="s">
        <v>47</v>
      </c>
      <c r="H54" s="1" t="s">
        <v>96</v>
      </c>
      <c r="I54" s="1">
        <v>909.68</v>
      </c>
      <c r="J54" s="1">
        <v>4</v>
      </c>
      <c r="K54" s="1">
        <v>5</v>
      </c>
      <c r="L54" s="1" t="s">
        <v>24</v>
      </c>
      <c r="M54" s="1">
        <v>4</v>
      </c>
      <c r="N54" s="1">
        <v>7</v>
      </c>
      <c r="O54" s="1">
        <v>3456.7840000000001</v>
      </c>
      <c r="P54" cm="1">
        <f t="array" ref="P54">_xlfn.IFS(O54&gt;=3000,20%,O54&gt;=1000,15%,O54&gt;=500,10%,O54&gt;=200,5%,O54&lt;200,0%)</f>
        <v>0.2</v>
      </c>
      <c r="Q54">
        <f t="shared" si="0"/>
        <v>691.35680000000002</v>
      </c>
      <c r="R54" t="str">
        <f t="shared" si="1"/>
        <v>Low Risk</v>
      </c>
    </row>
    <row r="55" spans="1:18" x14ac:dyDescent="0.35">
      <c r="A55" s="1" t="s">
        <v>141</v>
      </c>
      <c r="B55" s="2">
        <v>45637</v>
      </c>
      <c r="C55" s="1" t="s">
        <v>100</v>
      </c>
      <c r="D55" s="1">
        <v>49</v>
      </c>
      <c r="E55" s="1" t="s">
        <v>32</v>
      </c>
      <c r="F55" s="1" t="s">
        <v>27</v>
      </c>
      <c r="G55" s="1" t="s">
        <v>41</v>
      </c>
      <c r="H55" s="1" t="s">
        <v>28</v>
      </c>
      <c r="I55" s="1">
        <v>969.79</v>
      </c>
      <c r="J55" s="1">
        <v>2</v>
      </c>
      <c r="K55" s="1">
        <v>20</v>
      </c>
      <c r="L55" s="1" t="s">
        <v>29</v>
      </c>
      <c r="M55" s="1">
        <v>2</v>
      </c>
      <c r="N55" s="1">
        <v>7</v>
      </c>
      <c r="O55" s="1">
        <v>1551.664</v>
      </c>
      <c r="P55" cm="1">
        <f t="array" ref="P55">_xlfn.IFS(O55&gt;=3000,20%,O55&gt;=1000,15%,O55&gt;=500,10%,O55&gt;=200,5%,O55&lt;200,0%)</f>
        <v>0.15</v>
      </c>
      <c r="Q55">
        <f t="shared" si="0"/>
        <v>232.74959999999999</v>
      </c>
      <c r="R55" t="str">
        <f t="shared" si="1"/>
        <v>Medium Risk</v>
      </c>
    </row>
    <row r="56" spans="1:18" x14ac:dyDescent="0.35">
      <c r="A56" s="1" t="s">
        <v>142</v>
      </c>
      <c r="B56" s="2">
        <v>45344</v>
      </c>
      <c r="C56" s="1" t="s">
        <v>143</v>
      </c>
      <c r="D56" s="1">
        <v>54</v>
      </c>
      <c r="E56" s="1" t="s">
        <v>20</v>
      </c>
      <c r="F56" s="1" t="s">
        <v>33</v>
      </c>
      <c r="G56" s="1" t="s">
        <v>47</v>
      </c>
      <c r="H56" s="1" t="s">
        <v>35</v>
      </c>
      <c r="I56" s="1">
        <v>41.25</v>
      </c>
      <c r="J56" s="1">
        <v>2</v>
      </c>
      <c r="K56" s="1">
        <v>0</v>
      </c>
      <c r="L56" s="1" t="s">
        <v>52</v>
      </c>
      <c r="N56" s="1">
        <v>1</v>
      </c>
      <c r="O56" s="1">
        <v>82.5</v>
      </c>
      <c r="P56" cm="1">
        <f t="array" ref="P56">_xlfn.IFS(O56&gt;=3000,20%,O56&gt;=1000,15%,O56&gt;=500,10%,O56&gt;=200,5%,O56&lt;200,0%)</f>
        <v>0</v>
      </c>
      <c r="Q56">
        <f t="shared" si="0"/>
        <v>0</v>
      </c>
      <c r="R56" t="str">
        <f t="shared" si="1"/>
        <v>Missing Data</v>
      </c>
    </row>
    <row r="57" spans="1:18" x14ac:dyDescent="0.35">
      <c r="A57" s="1" t="s">
        <v>144</v>
      </c>
      <c r="B57" s="2">
        <v>45631</v>
      </c>
      <c r="C57" s="1" t="s">
        <v>145</v>
      </c>
      <c r="D57" s="1">
        <v>29</v>
      </c>
      <c r="E57" s="1" t="s">
        <v>20</v>
      </c>
      <c r="F57" s="1" t="s">
        <v>51</v>
      </c>
      <c r="G57" s="1" t="s">
        <v>22</v>
      </c>
      <c r="H57" s="1" t="s">
        <v>35</v>
      </c>
      <c r="I57" s="1">
        <v>1156.1199999999999</v>
      </c>
      <c r="J57" s="1">
        <v>1</v>
      </c>
      <c r="K57" s="1">
        <v>0</v>
      </c>
      <c r="L57" s="1" t="s">
        <v>52</v>
      </c>
      <c r="N57" s="1">
        <v>2</v>
      </c>
      <c r="O57" s="1">
        <v>1156.1199999999999</v>
      </c>
      <c r="P57" cm="1">
        <f t="array" ref="P57">_xlfn.IFS(O57&gt;=3000,20%,O57&gt;=1000,15%,O57&gt;=500,10%,O57&gt;=200,5%,O57&lt;200,0%)</f>
        <v>0.15</v>
      </c>
      <c r="Q57">
        <f t="shared" si="0"/>
        <v>173.41799999999998</v>
      </c>
      <c r="R57" t="str">
        <f t="shared" si="1"/>
        <v>Missing Data</v>
      </c>
    </row>
    <row r="58" spans="1:18" x14ac:dyDescent="0.35">
      <c r="A58" s="1" t="s">
        <v>146</v>
      </c>
      <c r="B58" s="2">
        <v>45383</v>
      </c>
      <c r="C58" s="1" t="s">
        <v>76</v>
      </c>
      <c r="D58" s="1">
        <v>30</v>
      </c>
      <c r="E58" s="1" t="s">
        <v>20</v>
      </c>
      <c r="F58" s="1" t="s">
        <v>51</v>
      </c>
      <c r="G58" s="1" t="s">
        <v>22</v>
      </c>
      <c r="H58" s="1" t="s">
        <v>23</v>
      </c>
      <c r="I58" s="1">
        <v>877.47</v>
      </c>
      <c r="J58" s="1">
        <v>4</v>
      </c>
      <c r="K58" s="1">
        <v>5</v>
      </c>
      <c r="L58" s="1" t="s">
        <v>24</v>
      </c>
      <c r="M58" s="1">
        <v>4</v>
      </c>
      <c r="N58" s="1">
        <v>9</v>
      </c>
      <c r="O58" s="1">
        <v>3334.386</v>
      </c>
      <c r="P58" cm="1">
        <f t="array" ref="P58">_xlfn.IFS(O58&gt;=3000,20%,O58&gt;=1000,15%,O58&gt;=500,10%,O58&gt;=200,5%,O58&lt;200,0%)</f>
        <v>0.2</v>
      </c>
      <c r="Q58">
        <f t="shared" si="0"/>
        <v>666.87720000000002</v>
      </c>
      <c r="R58" t="str">
        <f t="shared" si="1"/>
        <v>Low Risk</v>
      </c>
    </row>
    <row r="59" spans="1:18" x14ac:dyDescent="0.35">
      <c r="A59" s="1" t="s">
        <v>147</v>
      </c>
      <c r="B59" s="2">
        <v>45555</v>
      </c>
      <c r="C59" s="1" t="s">
        <v>148</v>
      </c>
      <c r="D59" s="1">
        <v>40</v>
      </c>
      <c r="E59" s="1" t="s">
        <v>20</v>
      </c>
      <c r="F59" s="1" t="s">
        <v>46</v>
      </c>
      <c r="G59" s="1" t="s">
        <v>41</v>
      </c>
      <c r="H59" s="1" t="s">
        <v>55</v>
      </c>
      <c r="I59" s="1">
        <v>379.61</v>
      </c>
      <c r="J59" s="1">
        <v>2</v>
      </c>
      <c r="K59" s="1">
        <v>10</v>
      </c>
      <c r="L59" s="1" t="s">
        <v>29</v>
      </c>
      <c r="M59" s="1">
        <v>4</v>
      </c>
      <c r="N59" s="1">
        <v>2</v>
      </c>
      <c r="O59" s="1">
        <v>683.298</v>
      </c>
      <c r="P59" cm="1">
        <f t="array" ref="P59">_xlfn.IFS(O59&gt;=3000,20%,O59&gt;=1000,15%,O59&gt;=500,10%,O59&gt;=200,5%,O59&lt;200,0%)</f>
        <v>0.1</v>
      </c>
      <c r="Q59">
        <f t="shared" si="0"/>
        <v>68.329800000000006</v>
      </c>
      <c r="R59" t="str">
        <f t="shared" si="1"/>
        <v>Low Risk</v>
      </c>
    </row>
    <row r="60" spans="1:18" x14ac:dyDescent="0.35">
      <c r="A60" s="1" t="s">
        <v>149</v>
      </c>
      <c r="B60" s="2">
        <v>45326</v>
      </c>
      <c r="C60" s="1" t="s">
        <v>150</v>
      </c>
      <c r="D60" s="1">
        <v>42</v>
      </c>
      <c r="E60" s="1" t="s">
        <v>20</v>
      </c>
      <c r="F60" s="1" t="s">
        <v>21</v>
      </c>
      <c r="G60" s="1" t="s">
        <v>34</v>
      </c>
      <c r="H60" s="1" t="s">
        <v>28</v>
      </c>
      <c r="I60" s="1">
        <v>998.69</v>
      </c>
      <c r="J60" s="1">
        <v>2</v>
      </c>
      <c r="K60" s="1">
        <v>0</v>
      </c>
      <c r="L60" s="1" t="s">
        <v>29</v>
      </c>
      <c r="M60" s="1">
        <v>1</v>
      </c>
      <c r="N60" s="1">
        <v>6</v>
      </c>
      <c r="O60" s="1">
        <v>1997.38</v>
      </c>
      <c r="P60" cm="1">
        <f t="array" ref="P60">_xlfn.IFS(O60&gt;=3000,20%,O60&gt;=1000,15%,O60&gt;=500,10%,O60&gt;=200,5%,O60&lt;200,0%)</f>
        <v>0.15</v>
      </c>
      <c r="Q60">
        <f t="shared" si="0"/>
        <v>299.60700000000003</v>
      </c>
      <c r="R60" t="str">
        <f t="shared" si="1"/>
        <v>High Risk</v>
      </c>
    </row>
    <row r="61" spans="1:18" x14ac:dyDescent="0.35">
      <c r="A61" s="1" t="s">
        <v>151</v>
      </c>
      <c r="B61" s="2">
        <v>45497</v>
      </c>
      <c r="C61" s="1" t="s">
        <v>152</v>
      </c>
      <c r="D61" s="1">
        <v>52</v>
      </c>
      <c r="E61" s="1" t="s">
        <v>32</v>
      </c>
      <c r="F61" s="1" t="s">
        <v>33</v>
      </c>
      <c r="G61" s="1" t="s">
        <v>38</v>
      </c>
      <c r="H61" s="1" t="s">
        <v>23</v>
      </c>
      <c r="I61" s="1">
        <v>352.2</v>
      </c>
      <c r="J61" s="1">
        <v>3</v>
      </c>
      <c r="K61" s="1">
        <v>20</v>
      </c>
      <c r="L61" s="1" t="s">
        <v>52</v>
      </c>
      <c r="M61" s="1">
        <v>5</v>
      </c>
      <c r="N61" s="1">
        <v>1</v>
      </c>
      <c r="O61" s="1">
        <v>845.28</v>
      </c>
      <c r="P61" cm="1">
        <f t="array" ref="P61">_xlfn.IFS(O61&gt;=3000,20%,O61&gt;=1000,15%,O61&gt;=500,10%,O61&gt;=200,5%,O61&lt;200,0%)</f>
        <v>0.1</v>
      </c>
      <c r="Q61">
        <f t="shared" si="0"/>
        <v>84.528000000000006</v>
      </c>
      <c r="R61" t="str">
        <f t="shared" si="1"/>
        <v>Medium Risk</v>
      </c>
    </row>
    <row r="62" spans="1:18" x14ac:dyDescent="0.35">
      <c r="A62" s="1" t="s">
        <v>153</v>
      </c>
      <c r="B62" s="2">
        <v>45372</v>
      </c>
      <c r="C62" s="1" t="s">
        <v>154</v>
      </c>
      <c r="D62" s="1">
        <v>58</v>
      </c>
      <c r="E62" s="1" t="s">
        <v>32</v>
      </c>
      <c r="F62" s="1" t="s">
        <v>46</v>
      </c>
      <c r="G62" s="1" t="s">
        <v>34</v>
      </c>
      <c r="H62" s="1" t="s">
        <v>42</v>
      </c>
      <c r="I62" s="1">
        <v>1049.8499999999999</v>
      </c>
      <c r="J62" s="1">
        <v>1</v>
      </c>
      <c r="K62" s="1">
        <v>0</v>
      </c>
      <c r="L62" s="1" t="s">
        <v>24</v>
      </c>
      <c r="M62" s="1">
        <v>3</v>
      </c>
      <c r="N62" s="1">
        <v>3</v>
      </c>
      <c r="O62" s="1">
        <v>1049.8499999999999</v>
      </c>
      <c r="P62" cm="1">
        <f t="array" ref="P62">_xlfn.IFS(O62&gt;=3000,20%,O62&gt;=1000,15%,O62&gt;=500,10%,O62&gt;=200,5%,O62&lt;200,0%)</f>
        <v>0.15</v>
      </c>
      <c r="Q62">
        <f t="shared" si="0"/>
        <v>157.47749999999999</v>
      </c>
      <c r="R62" t="str">
        <f t="shared" si="1"/>
        <v>Medium Risk</v>
      </c>
    </row>
    <row r="63" spans="1:18" x14ac:dyDescent="0.35">
      <c r="A63" s="1" t="s">
        <v>155</v>
      </c>
      <c r="B63" s="2">
        <v>45341</v>
      </c>
      <c r="C63" s="1" t="s">
        <v>156</v>
      </c>
      <c r="D63" s="1">
        <v>47</v>
      </c>
      <c r="E63" s="1" t="s">
        <v>20</v>
      </c>
      <c r="F63" s="1" t="s">
        <v>33</v>
      </c>
      <c r="G63" s="1" t="s">
        <v>47</v>
      </c>
      <c r="H63" s="1" t="s">
        <v>55</v>
      </c>
      <c r="I63" s="1">
        <v>152.84</v>
      </c>
      <c r="J63" s="1">
        <v>3</v>
      </c>
      <c r="K63" s="1">
        <v>20</v>
      </c>
      <c r="L63" s="1" t="s">
        <v>29</v>
      </c>
      <c r="N63" s="1">
        <v>2</v>
      </c>
      <c r="O63" s="1">
        <v>366.81599999999997</v>
      </c>
      <c r="P63" cm="1">
        <f t="array" ref="P63">_xlfn.IFS(O63&gt;=3000,20%,O63&gt;=1000,15%,O63&gt;=500,10%,O63&gt;=200,5%,O63&lt;200,0%)</f>
        <v>0.05</v>
      </c>
      <c r="Q63">
        <f t="shared" si="0"/>
        <v>18.340799999999998</v>
      </c>
      <c r="R63" t="str">
        <f t="shared" si="1"/>
        <v>Missing Data</v>
      </c>
    </row>
    <row r="64" spans="1:18" x14ac:dyDescent="0.35">
      <c r="A64" s="1" t="s">
        <v>157</v>
      </c>
      <c r="B64" s="2">
        <v>45651</v>
      </c>
      <c r="C64" s="1" t="s">
        <v>158</v>
      </c>
      <c r="D64" s="1">
        <v>34</v>
      </c>
      <c r="E64" s="1" t="s">
        <v>32</v>
      </c>
      <c r="F64" s="1" t="s">
        <v>21</v>
      </c>
      <c r="G64" s="1" t="s">
        <v>38</v>
      </c>
      <c r="H64" s="1" t="s">
        <v>55</v>
      </c>
      <c r="I64" s="1">
        <v>850.35</v>
      </c>
      <c r="J64" s="1">
        <v>3</v>
      </c>
      <c r="K64" s="1">
        <v>15</v>
      </c>
      <c r="L64" s="1" t="s">
        <v>52</v>
      </c>
      <c r="N64" s="1">
        <v>3</v>
      </c>
      <c r="O64" s="1">
        <v>2168.3924999999999</v>
      </c>
      <c r="P64" cm="1">
        <f t="array" ref="P64">_xlfn.IFS(O64&gt;=3000,20%,O64&gt;=1000,15%,O64&gt;=500,10%,O64&gt;=200,5%,O64&lt;200,0%)</f>
        <v>0.15</v>
      </c>
      <c r="Q64">
        <f t="shared" si="0"/>
        <v>325.25887499999999</v>
      </c>
      <c r="R64" t="str">
        <f t="shared" si="1"/>
        <v>Missing Data</v>
      </c>
    </row>
    <row r="65" spans="1:18" x14ac:dyDescent="0.35">
      <c r="A65" s="1" t="s">
        <v>159</v>
      </c>
      <c r="B65" s="2">
        <v>45293</v>
      </c>
      <c r="C65" s="1" t="s">
        <v>63</v>
      </c>
      <c r="D65" s="1">
        <v>37</v>
      </c>
      <c r="E65" s="1" t="s">
        <v>20</v>
      </c>
      <c r="F65" s="1" t="s">
        <v>51</v>
      </c>
      <c r="G65" s="1" t="s">
        <v>41</v>
      </c>
      <c r="H65" s="1" t="s">
        <v>48</v>
      </c>
      <c r="I65" s="1">
        <v>658.02</v>
      </c>
      <c r="J65" s="1">
        <v>2</v>
      </c>
      <c r="K65" s="1">
        <v>15</v>
      </c>
      <c r="L65" s="1" t="s">
        <v>43</v>
      </c>
      <c r="M65" s="1">
        <v>4</v>
      </c>
      <c r="N65" s="1">
        <v>5</v>
      </c>
      <c r="O65" s="1">
        <v>1118.634</v>
      </c>
      <c r="P65" cm="1">
        <f t="array" ref="P65">_xlfn.IFS(O65&gt;=3000,20%,O65&gt;=1000,15%,O65&gt;=500,10%,O65&gt;=200,5%,O65&lt;200,0%)</f>
        <v>0.15</v>
      </c>
      <c r="Q65">
        <f t="shared" si="0"/>
        <v>167.79509999999999</v>
      </c>
      <c r="R65" t="str">
        <f t="shared" si="1"/>
        <v>Medium Risk</v>
      </c>
    </row>
    <row r="66" spans="1:18" x14ac:dyDescent="0.35">
      <c r="A66" s="1" t="s">
        <v>160</v>
      </c>
      <c r="B66" s="2">
        <v>45345</v>
      </c>
      <c r="C66" s="1" t="s">
        <v>63</v>
      </c>
      <c r="D66" s="1">
        <v>42</v>
      </c>
      <c r="E66" s="1" t="s">
        <v>20</v>
      </c>
      <c r="F66" s="1" t="s">
        <v>27</v>
      </c>
      <c r="G66" s="1" t="s">
        <v>41</v>
      </c>
      <c r="H66" s="1" t="s">
        <v>48</v>
      </c>
      <c r="I66" s="1">
        <v>133.91</v>
      </c>
      <c r="J66" s="1">
        <v>1</v>
      </c>
      <c r="K66" s="1">
        <v>20</v>
      </c>
      <c r="L66" s="1" t="s">
        <v>24</v>
      </c>
      <c r="M66" s="1">
        <v>5</v>
      </c>
      <c r="N66" s="1">
        <v>6</v>
      </c>
      <c r="O66" s="1">
        <v>107.128</v>
      </c>
      <c r="P66" cm="1">
        <f t="array" ref="P66">_xlfn.IFS(O66&gt;=3000,20%,O66&gt;=1000,15%,O66&gt;=500,10%,O66&gt;=200,5%,O66&lt;200,0%)</f>
        <v>0</v>
      </c>
      <c r="Q66">
        <f t="shared" si="0"/>
        <v>0</v>
      </c>
      <c r="R66" t="str">
        <f t="shared" si="1"/>
        <v>Medium Risk</v>
      </c>
    </row>
    <row r="67" spans="1:18" x14ac:dyDescent="0.35">
      <c r="A67" s="1" t="s">
        <v>161</v>
      </c>
      <c r="B67" s="2">
        <v>45397</v>
      </c>
      <c r="C67" s="1" t="s">
        <v>162</v>
      </c>
      <c r="D67" s="1">
        <v>39</v>
      </c>
      <c r="E67" s="1" t="s">
        <v>32</v>
      </c>
      <c r="F67" s="1" t="s">
        <v>51</v>
      </c>
      <c r="G67" s="1" t="s">
        <v>38</v>
      </c>
      <c r="H67" s="1" t="s">
        <v>64</v>
      </c>
      <c r="I67" s="1">
        <v>305.43</v>
      </c>
      <c r="J67" s="1">
        <v>4</v>
      </c>
      <c r="K67" s="1">
        <v>10</v>
      </c>
      <c r="L67" s="1" t="s">
        <v>43</v>
      </c>
      <c r="N67" s="1">
        <v>9</v>
      </c>
      <c r="O67" s="1">
        <v>1099.548</v>
      </c>
      <c r="P67" cm="1">
        <f t="array" ref="P67">_xlfn.IFS(O67&gt;=3000,20%,O67&gt;=1000,15%,O67&gt;=500,10%,O67&gt;=200,5%,O67&lt;200,0%)</f>
        <v>0.15</v>
      </c>
      <c r="Q67">
        <f t="shared" ref="Q67:Q130" si="2">(P67*O67)</f>
        <v>164.93219999999999</v>
      </c>
      <c r="R67" t="str">
        <f t="shared" ref="R67:R130" si="3">IF(ISBLANK(K67),"Missing Data",IF(ISBLANK(M67),"Missing Data",IF(AND(K67&lt;=10,M67&gt;=4),"Low Risk",IF(OR(K67&gt;20,M67&lt;2),"High Risk","Medium Risk"))))</f>
        <v>Missing Data</v>
      </c>
    </row>
    <row r="68" spans="1:18" x14ac:dyDescent="0.35">
      <c r="A68" s="1" t="s">
        <v>163</v>
      </c>
      <c r="B68" s="2">
        <v>45551</v>
      </c>
      <c r="C68" s="1" t="s">
        <v>164</v>
      </c>
      <c r="D68" s="1">
        <v>30</v>
      </c>
      <c r="E68" s="1" t="s">
        <v>32</v>
      </c>
      <c r="F68" s="1" t="s">
        <v>46</v>
      </c>
      <c r="G68" s="1" t="s">
        <v>22</v>
      </c>
      <c r="H68" s="1" t="s">
        <v>64</v>
      </c>
      <c r="I68" s="1">
        <v>34.64</v>
      </c>
      <c r="J68" s="1">
        <v>2</v>
      </c>
      <c r="K68" s="1">
        <v>0</v>
      </c>
      <c r="L68" s="1" t="s">
        <v>24</v>
      </c>
      <c r="M68" s="1">
        <v>3</v>
      </c>
      <c r="N68" s="1">
        <v>4</v>
      </c>
      <c r="O68" s="1">
        <v>69.28</v>
      </c>
      <c r="P68" cm="1">
        <f t="array" ref="P68">_xlfn.IFS(O68&gt;=3000,20%,O68&gt;=1000,15%,O68&gt;=500,10%,O68&gt;=200,5%,O68&lt;200,0%)</f>
        <v>0</v>
      </c>
      <c r="Q68">
        <f t="shared" si="2"/>
        <v>0</v>
      </c>
      <c r="R68" t="str">
        <f t="shared" si="3"/>
        <v>Medium Risk</v>
      </c>
    </row>
    <row r="69" spans="1:18" x14ac:dyDescent="0.35">
      <c r="A69" s="1" t="s">
        <v>165</v>
      </c>
      <c r="B69" s="2">
        <v>45601</v>
      </c>
      <c r="C69" s="1" t="s">
        <v>122</v>
      </c>
      <c r="D69" s="1">
        <v>36</v>
      </c>
      <c r="E69" s="1" t="s">
        <v>32</v>
      </c>
      <c r="F69" s="1" t="s">
        <v>27</v>
      </c>
      <c r="G69" s="1" t="s">
        <v>38</v>
      </c>
      <c r="H69" s="1" t="s">
        <v>96</v>
      </c>
      <c r="I69" s="1">
        <v>573.15</v>
      </c>
      <c r="J69" s="1">
        <v>4</v>
      </c>
      <c r="K69" s="1">
        <v>0</v>
      </c>
      <c r="L69" s="1" t="s">
        <v>52</v>
      </c>
      <c r="M69" s="1">
        <v>4</v>
      </c>
      <c r="N69" s="1">
        <v>7</v>
      </c>
      <c r="O69" s="1">
        <v>2292.6</v>
      </c>
      <c r="P69" cm="1">
        <f t="array" ref="P69">_xlfn.IFS(O69&gt;=3000,20%,O69&gt;=1000,15%,O69&gt;=500,10%,O69&gt;=200,5%,O69&lt;200,0%)</f>
        <v>0.15</v>
      </c>
      <c r="Q69">
        <f t="shared" si="2"/>
        <v>343.89</v>
      </c>
      <c r="R69" t="str">
        <f t="shared" si="3"/>
        <v>Low Risk</v>
      </c>
    </row>
    <row r="70" spans="1:18" x14ac:dyDescent="0.35">
      <c r="A70" s="1" t="s">
        <v>166</v>
      </c>
      <c r="B70" s="2">
        <v>45482</v>
      </c>
      <c r="C70" s="1" t="s">
        <v>167</v>
      </c>
      <c r="E70" s="1" t="s">
        <v>20</v>
      </c>
      <c r="G70" s="1" t="s">
        <v>47</v>
      </c>
      <c r="H70" s="1" t="s">
        <v>42</v>
      </c>
      <c r="I70" s="1">
        <v>375.49</v>
      </c>
      <c r="J70" s="1">
        <v>4</v>
      </c>
      <c r="K70" s="1">
        <v>15</v>
      </c>
      <c r="L70" s="1" t="s">
        <v>29</v>
      </c>
      <c r="N70" s="1">
        <v>6</v>
      </c>
      <c r="O70" s="1">
        <v>1276.6659999999999</v>
      </c>
      <c r="P70" cm="1">
        <f t="array" ref="P70">_xlfn.IFS(O70&gt;=3000,20%,O70&gt;=1000,15%,O70&gt;=500,10%,O70&gt;=200,5%,O70&lt;200,0%)</f>
        <v>0.15</v>
      </c>
      <c r="Q70">
        <f t="shared" si="2"/>
        <v>191.4999</v>
      </c>
      <c r="R70" t="str">
        <f t="shared" si="3"/>
        <v>Missing Data</v>
      </c>
    </row>
    <row r="71" spans="1:18" x14ac:dyDescent="0.35">
      <c r="A71" s="1" t="s">
        <v>168</v>
      </c>
      <c r="B71" s="2">
        <v>45509</v>
      </c>
      <c r="C71" s="1" t="s">
        <v>169</v>
      </c>
      <c r="D71" s="1">
        <v>29</v>
      </c>
      <c r="E71" s="1" t="s">
        <v>32</v>
      </c>
      <c r="F71" s="1" t="s">
        <v>21</v>
      </c>
      <c r="G71" s="1" t="s">
        <v>22</v>
      </c>
      <c r="H71" s="1" t="s">
        <v>125</v>
      </c>
      <c r="I71" s="1">
        <v>726.06</v>
      </c>
      <c r="J71" s="1">
        <v>1</v>
      </c>
      <c r="K71" s="1">
        <v>20</v>
      </c>
      <c r="L71" s="1" t="s">
        <v>29</v>
      </c>
      <c r="M71" s="1">
        <v>5</v>
      </c>
      <c r="N71" s="1">
        <v>2</v>
      </c>
      <c r="O71" s="1">
        <v>580.84799999999996</v>
      </c>
      <c r="P71" cm="1">
        <f t="array" ref="P71">_xlfn.IFS(O71&gt;=3000,20%,O71&gt;=1000,15%,O71&gt;=500,10%,O71&gt;=200,5%,O71&lt;200,0%)</f>
        <v>0.1</v>
      </c>
      <c r="Q71">
        <f t="shared" si="2"/>
        <v>58.084800000000001</v>
      </c>
      <c r="R71" t="str">
        <f t="shared" si="3"/>
        <v>Medium Risk</v>
      </c>
    </row>
    <row r="72" spans="1:18" x14ac:dyDescent="0.35">
      <c r="A72" s="1" t="s">
        <v>170</v>
      </c>
      <c r="B72" s="2">
        <v>45335</v>
      </c>
      <c r="C72" s="1" t="s">
        <v>148</v>
      </c>
      <c r="D72" s="1">
        <v>58</v>
      </c>
      <c r="E72" s="1" t="s">
        <v>20</v>
      </c>
      <c r="F72" s="1" t="s">
        <v>27</v>
      </c>
      <c r="G72" s="1" t="s">
        <v>41</v>
      </c>
      <c r="H72" s="1" t="s">
        <v>125</v>
      </c>
      <c r="I72" s="1">
        <v>370.74</v>
      </c>
      <c r="J72" s="1">
        <v>3</v>
      </c>
      <c r="K72" s="1">
        <v>0</v>
      </c>
      <c r="L72" s="1" t="s">
        <v>29</v>
      </c>
      <c r="N72" s="1">
        <v>8</v>
      </c>
      <c r="O72" s="1">
        <v>1112.22</v>
      </c>
      <c r="P72" cm="1">
        <f t="array" ref="P72">_xlfn.IFS(O72&gt;=3000,20%,O72&gt;=1000,15%,O72&gt;=500,10%,O72&gt;=200,5%,O72&lt;200,0%)</f>
        <v>0.15</v>
      </c>
      <c r="Q72">
        <f t="shared" si="2"/>
        <v>166.833</v>
      </c>
      <c r="R72" t="str">
        <f t="shared" si="3"/>
        <v>Missing Data</v>
      </c>
    </row>
    <row r="73" spans="1:18" x14ac:dyDescent="0.35">
      <c r="A73" s="1" t="s">
        <v>171</v>
      </c>
      <c r="B73" s="2">
        <v>45453</v>
      </c>
      <c r="C73" s="1" t="s">
        <v>172</v>
      </c>
      <c r="D73" s="1">
        <v>36</v>
      </c>
      <c r="E73" s="1" t="s">
        <v>20</v>
      </c>
      <c r="F73" s="1" t="s">
        <v>46</v>
      </c>
      <c r="G73" s="1" t="s">
        <v>38</v>
      </c>
      <c r="H73" s="1" t="s">
        <v>48</v>
      </c>
      <c r="I73" s="1">
        <v>373.9</v>
      </c>
      <c r="J73" s="1">
        <v>1</v>
      </c>
      <c r="K73" s="1">
        <v>0</v>
      </c>
      <c r="L73" s="1" t="s">
        <v>24</v>
      </c>
      <c r="M73" s="1">
        <v>2</v>
      </c>
      <c r="N73" s="1">
        <v>7</v>
      </c>
      <c r="O73" s="1">
        <v>373.9</v>
      </c>
      <c r="P73" cm="1">
        <f t="array" ref="P73">_xlfn.IFS(O73&gt;=3000,20%,O73&gt;=1000,15%,O73&gt;=500,10%,O73&gt;=200,5%,O73&lt;200,0%)</f>
        <v>0.05</v>
      </c>
      <c r="Q73">
        <f t="shared" si="2"/>
        <v>18.695</v>
      </c>
      <c r="R73" t="str">
        <f t="shared" si="3"/>
        <v>Medium Risk</v>
      </c>
    </row>
    <row r="74" spans="1:18" x14ac:dyDescent="0.35">
      <c r="A74" s="1" t="s">
        <v>173</v>
      </c>
      <c r="B74" s="2">
        <v>45493</v>
      </c>
      <c r="C74" s="1" t="s">
        <v>174</v>
      </c>
      <c r="D74" s="1">
        <v>29</v>
      </c>
      <c r="E74" s="1" t="s">
        <v>20</v>
      </c>
      <c r="F74" s="1" t="s">
        <v>21</v>
      </c>
      <c r="G74" s="1" t="s">
        <v>34</v>
      </c>
      <c r="H74" s="1" t="s">
        <v>48</v>
      </c>
      <c r="I74" s="1">
        <v>896.97</v>
      </c>
      <c r="J74" s="1">
        <v>4</v>
      </c>
      <c r="K74" s="1">
        <v>10</v>
      </c>
      <c r="L74" s="1" t="s">
        <v>52</v>
      </c>
      <c r="N74" s="1">
        <v>7</v>
      </c>
      <c r="O74" s="1">
        <v>3229.0920000000001</v>
      </c>
      <c r="P74" cm="1">
        <f t="array" ref="P74">_xlfn.IFS(O74&gt;=3000,20%,O74&gt;=1000,15%,O74&gt;=500,10%,O74&gt;=200,5%,O74&lt;200,0%)</f>
        <v>0.2</v>
      </c>
      <c r="Q74">
        <f t="shared" si="2"/>
        <v>645.81840000000011</v>
      </c>
      <c r="R74" t="str">
        <f t="shared" si="3"/>
        <v>Missing Data</v>
      </c>
    </row>
    <row r="75" spans="1:18" x14ac:dyDescent="0.35">
      <c r="A75" s="1" t="s">
        <v>175</v>
      </c>
      <c r="B75" s="2">
        <v>45561</v>
      </c>
      <c r="C75" s="1" t="s">
        <v>98</v>
      </c>
      <c r="E75" s="1" t="s">
        <v>32</v>
      </c>
      <c r="G75" s="1" t="s">
        <v>34</v>
      </c>
      <c r="H75" s="1" t="s">
        <v>48</v>
      </c>
      <c r="I75" s="1">
        <v>76.81</v>
      </c>
      <c r="J75" s="1">
        <v>2</v>
      </c>
      <c r="K75" s="1">
        <v>5</v>
      </c>
      <c r="L75" s="1" t="s">
        <v>43</v>
      </c>
      <c r="N75" s="1">
        <v>8</v>
      </c>
      <c r="O75" s="1">
        <v>145.93899999999999</v>
      </c>
      <c r="P75" cm="1">
        <f t="array" ref="P75">_xlfn.IFS(O75&gt;=3000,20%,O75&gt;=1000,15%,O75&gt;=500,10%,O75&gt;=200,5%,O75&lt;200,0%)</f>
        <v>0</v>
      </c>
      <c r="Q75">
        <f t="shared" si="2"/>
        <v>0</v>
      </c>
      <c r="R75" t="str">
        <f t="shared" si="3"/>
        <v>Missing Data</v>
      </c>
    </row>
    <row r="76" spans="1:18" x14ac:dyDescent="0.35">
      <c r="A76" s="1" t="s">
        <v>176</v>
      </c>
      <c r="B76" s="2">
        <v>45642</v>
      </c>
      <c r="C76" s="1" t="s">
        <v>134</v>
      </c>
      <c r="D76" s="1">
        <v>24</v>
      </c>
      <c r="E76" s="1" t="s">
        <v>32</v>
      </c>
      <c r="F76" s="1" t="s">
        <v>21</v>
      </c>
      <c r="G76" s="1" t="s">
        <v>47</v>
      </c>
      <c r="H76" s="1" t="s">
        <v>28</v>
      </c>
      <c r="I76" s="1">
        <v>1085.42</v>
      </c>
      <c r="J76" s="1">
        <v>4</v>
      </c>
      <c r="K76" s="1">
        <v>15</v>
      </c>
      <c r="L76" s="1" t="s">
        <v>52</v>
      </c>
      <c r="N76" s="1">
        <v>1</v>
      </c>
      <c r="O76" s="1">
        <v>3690.4279999999999</v>
      </c>
      <c r="P76" cm="1">
        <f t="array" ref="P76">_xlfn.IFS(O76&gt;=3000,20%,O76&gt;=1000,15%,O76&gt;=500,10%,O76&gt;=200,5%,O76&lt;200,0%)</f>
        <v>0.2</v>
      </c>
      <c r="Q76">
        <f t="shared" si="2"/>
        <v>738.0856</v>
      </c>
      <c r="R76" t="str">
        <f t="shared" si="3"/>
        <v>Missing Data</v>
      </c>
    </row>
    <row r="77" spans="1:18" x14ac:dyDescent="0.35">
      <c r="A77" s="1" t="s">
        <v>177</v>
      </c>
      <c r="B77" s="2">
        <v>45595</v>
      </c>
      <c r="C77" s="1" t="s">
        <v>178</v>
      </c>
      <c r="D77" s="1">
        <v>45</v>
      </c>
      <c r="E77" s="1" t="s">
        <v>20</v>
      </c>
      <c r="F77" s="1" t="s">
        <v>33</v>
      </c>
      <c r="G77" s="1" t="s">
        <v>34</v>
      </c>
      <c r="H77" s="1" t="s">
        <v>79</v>
      </c>
      <c r="I77" s="1">
        <v>1025.67</v>
      </c>
      <c r="J77" s="1">
        <v>2</v>
      </c>
      <c r="K77" s="1">
        <v>15</v>
      </c>
      <c r="L77" s="1" t="s">
        <v>43</v>
      </c>
      <c r="N77" s="1">
        <v>1</v>
      </c>
      <c r="O77" s="1">
        <v>1743.6389999999999</v>
      </c>
      <c r="P77" cm="1">
        <f t="array" ref="P77">_xlfn.IFS(O77&gt;=3000,20%,O77&gt;=1000,15%,O77&gt;=500,10%,O77&gt;=200,5%,O77&lt;200,0%)</f>
        <v>0.15</v>
      </c>
      <c r="Q77">
        <f t="shared" si="2"/>
        <v>261.54584999999997</v>
      </c>
      <c r="R77" t="str">
        <f t="shared" si="3"/>
        <v>Missing Data</v>
      </c>
    </row>
    <row r="78" spans="1:18" x14ac:dyDescent="0.35">
      <c r="A78" s="1" t="s">
        <v>179</v>
      </c>
      <c r="B78" s="2">
        <v>45562</v>
      </c>
      <c r="C78" s="1" t="s">
        <v>172</v>
      </c>
      <c r="E78" s="1" t="s">
        <v>32</v>
      </c>
      <c r="G78" s="1" t="s">
        <v>38</v>
      </c>
      <c r="H78" s="1" t="s">
        <v>64</v>
      </c>
      <c r="I78" s="1">
        <v>808.01</v>
      </c>
      <c r="J78" s="1">
        <v>2</v>
      </c>
      <c r="K78" s="1">
        <v>5</v>
      </c>
      <c r="L78" s="1" t="s">
        <v>24</v>
      </c>
      <c r="N78" s="1">
        <v>8</v>
      </c>
      <c r="O78" s="1">
        <v>1535.2190000000001</v>
      </c>
      <c r="P78" cm="1">
        <f t="array" ref="P78">_xlfn.IFS(O78&gt;=3000,20%,O78&gt;=1000,15%,O78&gt;=500,10%,O78&gt;=200,5%,O78&lt;200,0%)</f>
        <v>0.15</v>
      </c>
      <c r="Q78">
        <f t="shared" si="2"/>
        <v>230.28285</v>
      </c>
      <c r="R78" t="str">
        <f t="shared" si="3"/>
        <v>Missing Data</v>
      </c>
    </row>
    <row r="79" spans="1:18" x14ac:dyDescent="0.35">
      <c r="A79" s="1" t="s">
        <v>180</v>
      </c>
      <c r="B79" s="2">
        <v>45506</v>
      </c>
      <c r="C79" s="1" t="s">
        <v>85</v>
      </c>
      <c r="D79" s="1">
        <v>48</v>
      </c>
      <c r="E79" s="1" t="s">
        <v>32</v>
      </c>
      <c r="F79" s="1" t="s">
        <v>21</v>
      </c>
      <c r="G79" s="1" t="s">
        <v>38</v>
      </c>
      <c r="H79" s="1" t="s">
        <v>28</v>
      </c>
      <c r="I79" s="1">
        <v>720</v>
      </c>
      <c r="J79" s="1">
        <v>1</v>
      </c>
      <c r="K79" s="1">
        <v>0</v>
      </c>
      <c r="L79" s="1" t="s">
        <v>24</v>
      </c>
      <c r="N79" s="1">
        <v>4</v>
      </c>
      <c r="O79" s="1">
        <v>720</v>
      </c>
      <c r="P79" cm="1">
        <f t="array" ref="P79">_xlfn.IFS(O79&gt;=3000,20%,O79&gt;=1000,15%,O79&gt;=500,10%,O79&gt;=200,5%,O79&lt;200,0%)</f>
        <v>0.1</v>
      </c>
      <c r="Q79">
        <f t="shared" si="2"/>
        <v>72</v>
      </c>
      <c r="R79" t="str">
        <f t="shared" si="3"/>
        <v>Missing Data</v>
      </c>
    </row>
    <row r="80" spans="1:18" x14ac:dyDescent="0.35">
      <c r="A80" s="1" t="s">
        <v>181</v>
      </c>
      <c r="B80" s="2">
        <v>45543</v>
      </c>
      <c r="C80" s="1" t="s">
        <v>182</v>
      </c>
      <c r="D80" s="1">
        <v>36</v>
      </c>
      <c r="E80" s="1" t="s">
        <v>32</v>
      </c>
      <c r="F80" s="1" t="s">
        <v>33</v>
      </c>
      <c r="G80" s="1" t="s">
        <v>34</v>
      </c>
      <c r="H80" s="1" t="s">
        <v>35</v>
      </c>
      <c r="I80" s="1">
        <v>1072.92</v>
      </c>
      <c r="J80" s="1">
        <v>4</v>
      </c>
      <c r="K80" s="1">
        <v>10</v>
      </c>
      <c r="L80" s="1" t="s">
        <v>43</v>
      </c>
      <c r="N80" s="1">
        <v>5</v>
      </c>
      <c r="O80" s="1">
        <v>3862.5120000000002</v>
      </c>
      <c r="P80" cm="1">
        <f t="array" ref="P80">_xlfn.IFS(O80&gt;=3000,20%,O80&gt;=1000,15%,O80&gt;=500,10%,O80&gt;=200,5%,O80&lt;200,0%)</f>
        <v>0.2</v>
      </c>
      <c r="Q80">
        <f t="shared" si="2"/>
        <v>772.50240000000008</v>
      </c>
      <c r="R80" t="str">
        <f t="shared" si="3"/>
        <v>Missing Data</v>
      </c>
    </row>
    <row r="81" spans="1:18" x14ac:dyDescent="0.35">
      <c r="A81" s="1" t="s">
        <v>183</v>
      </c>
      <c r="B81" s="2">
        <v>45481</v>
      </c>
      <c r="C81" s="1" t="s">
        <v>87</v>
      </c>
      <c r="D81" s="1">
        <v>33</v>
      </c>
      <c r="E81" s="1" t="s">
        <v>20</v>
      </c>
      <c r="F81" s="1" t="s">
        <v>46</v>
      </c>
      <c r="G81" s="1" t="s">
        <v>38</v>
      </c>
      <c r="H81" s="1" t="s">
        <v>125</v>
      </c>
      <c r="I81" s="1">
        <v>238.69</v>
      </c>
      <c r="J81" s="1">
        <v>3</v>
      </c>
      <c r="K81" s="1">
        <v>10</v>
      </c>
      <c r="L81" s="1" t="s">
        <v>43</v>
      </c>
      <c r="M81" s="1">
        <v>3</v>
      </c>
      <c r="N81" s="1">
        <v>8</v>
      </c>
      <c r="O81" s="1">
        <v>644.46299999999997</v>
      </c>
      <c r="P81" cm="1">
        <f t="array" ref="P81">_xlfn.IFS(O81&gt;=3000,20%,O81&gt;=1000,15%,O81&gt;=500,10%,O81&gt;=200,5%,O81&lt;200,0%)</f>
        <v>0.1</v>
      </c>
      <c r="Q81">
        <f t="shared" si="2"/>
        <v>64.446299999999994</v>
      </c>
      <c r="R81" t="str">
        <f t="shared" si="3"/>
        <v>Medium Risk</v>
      </c>
    </row>
    <row r="82" spans="1:18" x14ac:dyDescent="0.35">
      <c r="A82" s="1" t="s">
        <v>184</v>
      </c>
      <c r="B82" s="2">
        <v>45587</v>
      </c>
      <c r="C82" s="1" t="s">
        <v>167</v>
      </c>
      <c r="D82" s="1">
        <v>22</v>
      </c>
      <c r="E82" s="1" t="s">
        <v>20</v>
      </c>
      <c r="F82" s="1" t="s">
        <v>46</v>
      </c>
      <c r="G82" s="1" t="s">
        <v>47</v>
      </c>
      <c r="H82" s="1" t="s">
        <v>55</v>
      </c>
      <c r="I82" s="1">
        <v>113.18</v>
      </c>
      <c r="J82" s="1">
        <v>4</v>
      </c>
      <c r="K82" s="1">
        <v>15</v>
      </c>
      <c r="L82" s="1" t="s">
        <v>43</v>
      </c>
      <c r="M82" s="1">
        <v>2</v>
      </c>
      <c r="N82" s="1">
        <v>5</v>
      </c>
      <c r="O82" s="1">
        <v>384.81200000000001</v>
      </c>
      <c r="P82" cm="1">
        <f t="array" ref="P82">_xlfn.IFS(O82&gt;=3000,20%,O82&gt;=1000,15%,O82&gt;=500,10%,O82&gt;=200,5%,O82&lt;200,0%)</f>
        <v>0.05</v>
      </c>
      <c r="Q82">
        <f t="shared" si="2"/>
        <v>19.240600000000001</v>
      </c>
      <c r="R82" t="str">
        <f t="shared" si="3"/>
        <v>Medium Risk</v>
      </c>
    </row>
    <row r="83" spans="1:18" x14ac:dyDescent="0.35">
      <c r="A83" s="1" t="s">
        <v>185</v>
      </c>
      <c r="B83" s="2">
        <v>45504</v>
      </c>
      <c r="C83" s="1" t="s">
        <v>186</v>
      </c>
      <c r="D83" s="1">
        <v>52</v>
      </c>
      <c r="E83" s="1" t="s">
        <v>32</v>
      </c>
      <c r="F83" s="1" t="s">
        <v>21</v>
      </c>
      <c r="G83" s="1" t="s">
        <v>22</v>
      </c>
      <c r="H83" s="1" t="s">
        <v>64</v>
      </c>
      <c r="I83" s="1">
        <v>302.62</v>
      </c>
      <c r="J83" s="1">
        <v>4</v>
      </c>
      <c r="K83" s="1">
        <v>10</v>
      </c>
      <c r="L83" s="1" t="s">
        <v>52</v>
      </c>
      <c r="M83" s="1">
        <v>3</v>
      </c>
      <c r="N83" s="1">
        <v>4</v>
      </c>
      <c r="O83" s="1">
        <v>1089.432</v>
      </c>
      <c r="P83" cm="1">
        <f t="array" ref="P83">_xlfn.IFS(O83&gt;=3000,20%,O83&gt;=1000,15%,O83&gt;=500,10%,O83&gt;=200,5%,O83&lt;200,0%)</f>
        <v>0.15</v>
      </c>
      <c r="Q83">
        <f t="shared" si="2"/>
        <v>163.41479999999999</v>
      </c>
      <c r="R83" t="str">
        <f t="shared" si="3"/>
        <v>Medium Risk</v>
      </c>
    </row>
    <row r="84" spans="1:18" x14ac:dyDescent="0.35">
      <c r="A84" s="1" t="s">
        <v>187</v>
      </c>
      <c r="B84" s="2">
        <v>45499</v>
      </c>
      <c r="C84" s="1" t="s">
        <v>132</v>
      </c>
      <c r="D84" s="1">
        <v>29</v>
      </c>
      <c r="E84" s="1" t="s">
        <v>20</v>
      </c>
      <c r="F84" s="1" t="s">
        <v>33</v>
      </c>
      <c r="G84" s="1" t="s">
        <v>47</v>
      </c>
      <c r="H84" s="1" t="s">
        <v>23</v>
      </c>
      <c r="I84" s="1">
        <v>957.6</v>
      </c>
      <c r="J84" s="1">
        <v>3</v>
      </c>
      <c r="K84" s="1">
        <v>5</v>
      </c>
      <c r="L84" s="1" t="s">
        <v>43</v>
      </c>
      <c r="M84" s="1">
        <v>3</v>
      </c>
      <c r="N84" s="1">
        <v>6</v>
      </c>
      <c r="O84" s="1">
        <v>2729.16</v>
      </c>
      <c r="P84" cm="1">
        <f t="array" ref="P84">_xlfn.IFS(O84&gt;=3000,20%,O84&gt;=1000,15%,O84&gt;=500,10%,O84&gt;=200,5%,O84&lt;200,0%)</f>
        <v>0.15</v>
      </c>
      <c r="Q84">
        <f t="shared" si="2"/>
        <v>409.37399999999997</v>
      </c>
      <c r="R84" t="str">
        <f t="shared" si="3"/>
        <v>Medium Risk</v>
      </c>
    </row>
    <row r="85" spans="1:18" x14ac:dyDescent="0.35">
      <c r="A85" s="1" t="s">
        <v>188</v>
      </c>
      <c r="B85" s="2">
        <v>45528</v>
      </c>
      <c r="C85" s="1" t="s">
        <v>102</v>
      </c>
      <c r="D85" s="1">
        <v>42</v>
      </c>
      <c r="E85" s="1" t="s">
        <v>32</v>
      </c>
      <c r="F85" s="1" t="s">
        <v>33</v>
      </c>
      <c r="G85" s="1" t="s">
        <v>47</v>
      </c>
      <c r="H85" s="1" t="s">
        <v>35</v>
      </c>
      <c r="I85" s="1">
        <v>60.91</v>
      </c>
      <c r="J85" s="1">
        <v>1</v>
      </c>
      <c r="K85" s="1">
        <v>0</v>
      </c>
      <c r="L85" s="1" t="s">
        <v>24</v>
      </c>
      <c r="M85" s="1">
        <v>4</v>
      </c>
      <c r="N85" s="1">
        <v>5</v>
      </c>
      <c r="O85" s="1">
        <v>60.91</v>
      </c>
      <c r="P85" cm="1">
        <f t="array" ref="P85">_xlfn.IFS(O85&gt;=3000,20%,O85&gt;=1000,15%,O85&gt;=500,10%,O85&gt;=200,5%,O85&lt;200,0%)</f>
        <v>0</v>
      </c>
      <c r="Q85">
        <f t="shared" si="2"/>
        <v>0</v>
      </c>
      <c r="R85" t="str">
        <f t="shared" si="3"/>
        <v>Low Risk</v>
      </c>
    </row>
    <row r="86" spans="1:18" x14ac:dyDescent="0.35">
      <c r="A86" s="1" t="s">
        <v>189</v>
      </c>
      <c r="B86" s="2">
        <v>45629</v>
      </c>
      <c r="C86" s="1" t="s">
        <v>154</v>
      </c>
      <c r="E86" s="1" t="s">
        <v>32</v>
      </c>
      <c r="G86" s="1" t="s">
        <v>38</v>
      </c>
      <c r="H86" s="1" t="s">
        <v>64</v>
      </c>
      <c r="I86" s="1">
        <v>707.71</v>
      </c>
      <c r="J86" s="1">
        <v>4</v>
      </c>
      <c r="K86" s="1">
        <v>5</v>
      </c>
      <c r="L86" s="1" t="s">
        <v>24</v>
      </c>
      <c r="N86" s="1">
        <v>7</v>
      </c>
      <c r="O86" s="1">
        <v>2689.2979999999998</v>
      </c>
      <c r="P86" cm="1">
        <f t="array" ref="P86">_xlfn.IFS(O86&gt;=3000,20%,O86&gt;=1000,15%,O86&gt;=500,10%,O86&gt;=200,5%,O86&lt;200,0%)</f>
        <v>0.15</v>
      </c>
      <c r="Q86">
        <f t="shared" si="2"/>
        <v>403.39469999999994</v>
      </c>
      <c r="R86" t="str">
        <f t="shared" si="3"/>
        <v>Missing Data</v>
      </c>
    </row>
    <row r="87" spans="1:18" x14ac:dyDescent="0.35">
      <c r="A87" s="1" t="s">
        <v>190</v>
      </c>
      <c r="B87" s="2">
        <v>45344</v>
      </c>
      <c r="C87" s="1" t="s">
        <v>72</v>
      </c>
      <c r="D87" s="1">
        <v>53</v>
      </c>
      <c r="E87" s="1" t="s">
        <v>32</v>
      </c>
      <c r="F87" s="1" t="s">
        <v>46</v>
      </c>
      <c r="G87" s="1" t="s">
        <v>22</v>
      </c>
      <c r="H87" s="1" t="s">
        <v>28</v>
      </c>
      <c r="I87" s="1">
        <v>1194.6199999999999</v>
      </c>
      <c r="J87" s="1">
        <v>4</v>
      </c>
      <c r="K87" s="1">
        <v>20</v>
      </c>
      <c r="L87" s="1" t="s">
        <v>29</v>
      </c>
      <c r="M87" s="1">
        <v>3</v>
      </c>
      <c r="N87" s="1">
        <v>7</v>
      </c>
      <c r="O87" s="1">
        <v>3822.7840000000001</v>
      </c>
      <c r="P87" cm="1">
        <f t="array" ref="P87">_xlfn.IFS(O87&gt;=3000,20%,O87&gt;=1000,15%,O87&gt;=500,10%,O87&gt;=200,5%,O87&lt;200,0%)</f>
        <v>0.2</v>
      </c>
      <c r="Q87">
        <f t="shared" si="2"/>
        <v>764.55680000000007</v>
      </c>
      <c r="R87" t="str">
        <f t="shared" si="3"/>
        <v>Medium Risk</v>
      </c>
    </row>
    <row r="88" spans="1:18" x14ac:dyDescent="0.35">
      <c r="A88" s="1" t="s">
        <v>191</v>
      </c>
      <c r="B88" s="2">
        <v>45571</v>
      </c>
      <c r="C88" s="1" t="s">
        <v>137</v>
      </c>
      <c r="D88" s="1">
        <v>40</v>
      </c>
      <c r="E88" s="1" t="s">
        <v>32</v>
      </c>
      <c r="F88" s="1" t="s">
        <v>27</v>
      </c>
      <c r="G88" s="1" t="s">
        <v>38</v>
      </c>
      <c r="H88" s="1" t="s">
        <v>42</v>
      </c>
      <c r="I88" s="1">
        <v>1029.72</v>
      </c>
      <c r="J88" s="1">
        <v>2</v>
      </c>
      <c r="K88" s="1">
        <v>15</v>
      </c>
      <c r="L88" s="1" t="s">
        <v>43</v>
      </c>
      <c r="M88" s="1">
        <v>5</v>
      </c>
      <c r="N88" s="1">
        <v>4</v>
      </c>
      <c r="O88" s="1">
        <v>1750.5239999999999</v>
      </c>
      <c r="P88" cm="1">
        <f t="array" ref="P88">_xlfn.IFS(O88&gt;=3000,20%,O88&gt;=1000,15%,O88&gt;=500,10%,O88&gt;=200,5%,O88&lt;200,0%)</f>
        <v>0.15</v>
      </c>
      <c r="Q88">
        <f t="shared" si="2"/>
        <v>262.57859999999999</v>
      </c>
      <c r="R88" t="str">
        <f t="shared" si="3"/>
        <v>Medium Risk</v>
      </c>
    </row>
    <row r="89" spans="1:18" x14ac:dyDescent="0.35">
      <c r="A89" s="1" t="s">
        <v>192</v>
      </c>
      <c r="B89" s="2">
        <v>45508</v>
      </c>
      <c r="C89" s="1" t="s">
        <v>137</v>
      </c>
      <c r="D89" s="1">
        <v>33</v>
      </c>
      <c r="E89" s="1" t="s">
        <v>20</v>
      </c>
      <c r="F89" s="1" t="s">
        <v>46</v>
      </c>
      <c r="G89" s="1" t="s">
        <v>41</v>
      </c>
      <c r="H89" s="1" t="s">
        <v>55</v>
      </c>
      <c r="I89" s="1">
        <v>635.30999999999995</v>
      </c>
      <c r="J89" s="1">
        <v>4</v>
      </c>
      <c r="K89" s="1">
        <v>10</v>
      </c>
      <c r="L89" s="1" t="s">
        <v>52</v>
      </c>
      <c r="M89" s="1">
        <v>5</v>
      </c>
      <c r="N89" s="1">
        <v>5</v>
      </c>
      <c r="O89" s="1">
        <v>2287.116</v>
      </c>
      <c r="P89" cm="1">
        <f t="array" ref="P89">_xlfn.IFS(O89&gt;=3000,20%,O89&gt;=1000,15%,O89&gt;=500,10%,O89&gt;=200,5%,O89&lt;200,0%)</f>
        <v>0.15</v>
      </c>
      <c r="Q89">
        <f t="shared" si="2"/>
        <v>343.06739999999996</v>
      </c>
      <c r="R89" t="str">
        <f t="shared" si="3"/>
        <v>Low Risk</v>
      </c>
    </row>
    <row r="90" spans="1:18" x14ac:dyDescent="0.35">
      <c r="A90" s="1" t="s">
        <v>193</v>
      </c>
      <c r="B90" s="2">
        <v>45543</v>
      </c>
      <c r="C90" s="1" t="s">
        <v>50</v>
      </c>
      <c r="D90" s="1">
        <v>56</v>
      </c>
      <c r="E90" s="1" t="s">
        <v>20</v>
      </c>
      <c r="F90" s="1" t="s">
        <v>46</v>
      </c>
      <c r="G90" s="1" t="s">
        <v>38</v>
      </c>
      <c r="H90" s="1" t="s">
        <v>64</v>
      </c>
      <c r="I90" s="1">
        <v>95.1</v>
      </c>
      <c r="J90" s="1">
        <v>3</v>
      </c>
      <c r="K90" s="1">
        <v>20</v>
      </c>
      <c r="L90" s="1" t="s">
        <v>52</v>
      </c>
      <c r="N90" s="1">
        <v>3</v>
      </c>
      <c r="O90" s="1">
        <v>228.24</v>
      </c>
      <c r="P90" cm="1">
        <f t="array" ref="P90">_xlfn.IFS(O90&gt;=3000,20%,O90&gt;=1000,15%,O90&gt;=500,10%,O90&gt;=200,5%,O90&lt;200,0%)</f>
        <v>0.05</v>
      </c>
      <c r="Q90">
        <f t="shared" si="2"/>
        <v>11.412000000000001</v>
      </c>
      <c r="R90" t="str">
        <f t="shared" si="3"/>
        <v>Missing Data</v>
      </c>
    </row>
    <row r="91" spans="1:18" x14ac:dyDescent="0.35">
      <c r="A91" s="1" t="s">
        <v>194</v>
      </c>
      <c r="B91" s="2">
        <v>45479</v>
      </c>
      <c r="C91" s="1" t="s">
        <v>54</v>
      </c>
      <c r="D91" s="1">
        <v>59</v>
      </c>
      <c r="E91" s="1" t="s">
        <v>20</v>
      </c>
      <c r="F91" s="1" t="s">
        <v>51</v>
      </c>
      <c r="G91" s="1" t="s">
        <v>38</v>
      </c>
      <c r="H91" s="1" t="s">
        <v>79</v>
      </c>
      <c r="I91" s="1">
        <v>1001.02</v>
      </c>
      <c r="J91" s="1">
        <v>2</v>
      </c>
      <c r="K91" s="1">
        <v>10</v>
      </c>
      <c r="L91" s="1" t="s">
        <v>52</v>
      </c>
      <c r="M91" s="1">
        <v>4</v>
      </c>
      <c r="N91" s="1">
        <v>4</v>
      </c>
      <c r="O91" s="1">
        <v>1801.836</v>
      </c>
      <c r="P91" cm="1">
        <f t="array" ref="P91">_xlfn.IFS(O91&gt;=3000,20%,O91&gt;=1000,15%,O91&gt;=500,10%,O91&gt;=200,5%,O91&lt;200,0%)</f>
        <v>0.15</v>
      </c>
      <c r="Q91">
        <f t="shared" si="2"/>
        <v>270.27539999999999</v>
      </c>
      <c r="R91" t="str">
        <f t="shared" si="3"/>
        <v>Low Risk</v>
      </c>
    </row>
    <row r="92" spans="1:18" x14ac:dyDescent="0.35">
      <c r="A92" s="1" t="s">
        <v>195</v>
      </c>
      <c r="B92" s="2">
        <v>45332</v>
      </c>
      <c r="C92" s="1" t="s">
        <v>154</v>
      </c>
      <c r="D92" s="1">
        <v>56</v>
      </c>
      <c r="E92" s="1" t="s">
        <v>32</v>
      </c>
      <c r="F92" s="1" t="s">
        <v>27</v>
      </c>
      <c r="G92" s="1" t="s">
        <v>38</v>
      </c>
      <c r="H92" s="1" t="s">
        <v>48</v>
      </c>
      <c r="I92" s="1">
        <v>726.79</v>
      </c>
      <c r="J92" s="1">
        <v>1</v>
      </c>
      <c r="K92" s="1">
        <v>0</v>
      </c>
      <c r="L92" s="1" t="s">
        <v>29</v>
      </c>
      <c r="M92" s="1">
        <v>1</v>
      </c>
      <c r="N92" s="1">
        <v>4</v>
      </c>
      <c r="O92" s="1">
        <v>726.79</v>
      </c>
      <c r="P92" cm="1">
        <f t="array" ref="P92">_xlfn.IFS(O92&gt;=3000,20%,O92&gt;=1000,15%,O92&gt;=500,10%,O92&gt;=200,5%,O92&lt;200,0%)</f>
        <v>0.1</v>
      </c>
      <c r="Q92">
        <f t="shared" si="2"/>
        <v>72.679000000000002</v>
      </c>
      <c r="R92" t="str">
        <f t="shared" si="3"/>
        <v>High Risk</v>
      </c>
    </row>
    <row r="93" spans="1:18" x14ac:dyDescent="0.35">
      <c r="A93" s="1" t="s">
        <v>196</v>
      </c>
      <c r="B93" s="2">
        <v>45448</v>
      </c>
      <c r="C93" s="1" t="s">
        <v>26</v>
      </c>
      <c r="D93" s="1">
        <v>31</v>
      </c>
      <c r="E93" s="1" t="s">
        <v>32</v>
      </c>
      <c r="F93" s="1" t="s">
        <v>51</v>
      </c>
      <c r="G93" s="1" t="s">
        <v>22</v>
      </c>
      <c r="H93" s="1" t="s">
        <v>48</v>
      </c>
      <c r="I93" s="1">
        <v>155.62</v>
      </c>
      <c r="J93" s="1">
        <v>2</v>
      </c>
      <c r="K93" s="1">
        <v>0</v>
      </c>
      <c r="L93" s="1" t="s">
        <v>24</v>
      </c>
      <c r="M93" s="1">
        <v>1</v>
      </c>
      <c r="N93" s="1">
        <v>3</v>
      </c>
      <c r="O93" s="1">
        <v>311.24</v>
      </c>
      <c r="P93" cm="1">
        <f t="array" ref="P93">_xlfn.IFS(O93&gt;=3000,20%,O93&gt;=1000,15%,O93&gt;=500,10%,O93&gt;=200,5%,O93&lt;200,0%)</f>
        <v>0.05</v>
      </c>
      <c r="Q93">
        <f t="shared" si="2"/>
        <v>15.562000000000001</v>
      </c>
      <c r="R93" t="str">
        <f t="shared" si="3"/>
        <v>High Risk</v>
      </c>
    </row>
    <row r="94" spans="1:18" x14ac:dyDescent="0.35">
      <c r="A94" s="1" t="s">
        <v>197</v>
      </c>
      <c r="B94" s="2">
        <v>45306</v>
      </c>
      <c r="C94" s="1" t="s">
        <v>50</v>
      </c>
      <c r="D94" s="1">
        <v>48</v>
      </c>
      <c r="E94" s="1" t="s">
        <v>32</v>
      </c>
      <c r="F94" s="1" t="s">
        <v>27</v>
      </c>
      <c r="G94" s="1" t="s">
        <v>38</v>
      </c>
      <c r="H94" s="1" t="s">
        <v>55</v>
      </c>
      <c r="I94" s="1">
        <v>130.75</v>
      </c>
      <c r="J94" s="1">
        <v>3</v>
      </c>
      <c r="K94" s="1">
        <v>0</v>
      </c>
      <c r="L94" s="1" t="s">
        <v>52</v>
      </c>
      <c r="N94" s="1">
        <v>5</v>
      </c>
      <c r="O94" s="1">
        <v>392.25</v>
      </c>
      <c r="P94" cm="1">
        <f t="array" ref="P94">_xlfn.IFS(O94&gt;=3000,20%,O94&gt;=1000,15%,O94&gt;=500,10%,O94&gt;=200,5%,O94&lt;200,0%)</f>
        <v>0.05</v>
      </c>
      <c r="Q94">
        <f t="shared" si="2"/>
        <v>19.612500000000001</v>
      </c>
      <c r="R94" t="str">
        <f t="shared" si="3"/>
        <v>Missing Data</v>
      </c>
    </row>
    <row r="95" spans="1:18" x14ac:dyDescent="0.35">
      <c r="A95" s="1" t="s">
        <v>198</v>
      </c>
      <c r="B95" s="2">
        <v>45592</v>
      </c>
      <c r="C95" s="1" t="s">
        <v>167</v>
      </c>
      <c r="D95" s="1">
        <v>22</v>
      </c>
      <c r="E95" s="1" t="s">
        <v>20</v>
      </c>
      <c r="F95" s="1" t="s">
        <v>21</v>
      </c>
      <c r="G95" s="1" t="s">
        <v>22</v>
      </c>
      <c r="H95" s="1" t="s">
        <v>28</v>
      </c>
      <c r="I95" s="1">
        <v>1093.3599999999999</v>
      </c>
      <c r="J95" s="1">
        <v>3</v>
      </c>
      <c r="K95" s="1">
        <v>10</v>
      </c>
      <c r="L95" s="1" t="s">
        <v>24</v>
      </c>
      <c r="M95" s="1">
        <v>5</v>
      </c>
      <c r="N95" s="1">
        <v>5</v>
      </c>
      <c r="O95" s="1">
        <v>2952.0720000000001</v>
      </c>
      <c r="P95" cm="1">
        <f t="array" ref="P95">_xlfn.IFS(O95&gt;=3000,20%,O95&gt;=1000,15%,O95&gt;=500,10%,O95&gt;=200,5%,O95&lt;200,0%)</f>
        <v>0.15</v>
      </c>
      <c r="Q95">
        <f t="shared" si="2"/>
        <v>442.81080000000003</v>
      </c>
      <c r="R95" t="str">
        <f t="shared" si="3"/>
        <v>Low Risk</v>
      </c>
    </row>
    <row r="96" spans="1:18" x14ac:dyDescent="0.35">
      <c r="A96" s="1" t="s">
        <v>199</v>
      </c>
      <c r="B96" s="2">
        <v>45356</v>
      </c>
      <c r="C96" s="1" t="s">
        <v>78</v>
      </c>
      <c r="D96" s="1">
        <v>52</v>
      </c>
      <c r="E96" s="1" t="s">
        <v>32</v>
      </c>
      <c r="F96" s="1" t="s">
        <v>27</v>
      </c>
      <c r="G96" s="1" t="s">
        <v>34</v>
      </c>
      <c r="H96" s="1" t="s">
        <v>48</v>
      </c>
      <c r="I96" s="1">
        <v>809.66</v>
      </c>
      <c r="J96" s="1">
        <v>2</v>
      </c>
      <c r="K96" s="1">
        <v>20</v>
      </c>
      <c r="L96" s="1" t="s">
        <v>29</v>
      </c>
      <c r="M96" s="1">
        <v>2</v>
      </c>
      <c r="N96" s="1">
        <v>7</v>
      </c>
      <c r="O96" s="1">
        <v>1295.4559999999999</v>
      </c>
      <c r="P96" cm="1">
        <f t="array" ref="P96">_xlfn.IFS(O96&gt;=3000,20%,O96&gt;=1000,15%,O96&gt;=500,10%,O96&gt;=200,5%,O96&lt;200,0%)</f>
        <v>0.15</v>
      </c>
      <c r="Q96">
        <f t="shared" si="2"/>
        <v>194.31839999999997</v>
      </c>
      <c r="R96" t="str">
        <f t="shared" si="3"/>
        <v>Medium Risk</v>
      </c>
    </row>
    <row r="97" spans="1:18" x14ac:dyDescent="0.35">
      <c r="A97" s="1" t="s">
        <v>200</v>
      </c>
      <c r="B97" s="2">
        <v>45636</v>
      </c>
      <c r="C97" s="1" t="s">
        <v>201</v>
      </c>
      <c r="D97" s="1">
        <v>40</v>
      </c>
      <c r="E97" s="1" t="s">
        <v>20</v>
      </c>
      <c r="F97" s="1" t="s">
        <v>51</v>
      </c>
      <c r="G97" s="1" t="s">
        <v>41</v>
      </c>
      <c r="H97" s="1" t="s">
        <v>64</v>
      </c>
      <c r="I97" s="1">
        <v>998.56</v>
      </c>
      <c r="J97" s="1">
        <v>1</v>
      </c>
      <c r="K97" s="1">
        <v>0</v>
      </c>
      <c r="L97" s="1" t="s">
        <v>43</v>
      </c>
      <c r="M97" s="1">
        <v>4</v>
      </c>
      <c r="N97" s="1">
        <v>4</v>
      </c>
      <c r="O97" s="1">
        <v>998.56</v>
      </c>
      <c r="P97" cm="1">
        <f t="array" ref="P97">_xlfn.IFS(O97&gt;=3000,20%,O97&gt;=1000,15%,O97&gt;=500,10%,O97&gt;=200,5%,O97&lt;200,0%)</f>
        <v>0.1</v>
      </c>
      <c r="Q97">
        <f t="shared" si="2"/>
        <v>99.855999999999995</v>
      </c>
      <c r="R97" t="str">
        <f t="shared" si="3"/>
        <v>Low Risk</v>
      </c>
    </row>
    <row r="98" spans="1:18" x14ac:dyDescent="0.35">
      <c r="A98" s="1" t="s">
        <v>202</v>
      </c>
      <c r="B98" s="2">
        <v>45618</v>
      </c>
      <c r="C98" s="1" t="s">
        <v>102</v>
      </c>
      <c r="D98" s="1">
        <v>46</v>
      </c>
      <c r="E98" s="1" t="s">
        <v>20</v>
      </c>
      <c r="F98" s="1" t="s">
        <v>46</v>
      </c>
      <c r="G98" s="1" t="s">
        <v>22</v>
      </c>
      <c r="H98" s="1" t="s">
        <v>23</v>
      </c>
      <c r="I98" s="1">
        <v>1057.2</v>
      </c>
      <c r="J98" s="1">
        <v>2</v>
      </c>
      <c r="K98" s="1">
        <v>20</v>
      </c>
      <c r="L98" s="1" t="s">
        <v>43</v>
      </c>
      <c r="N98" s="1">
        <v>4</v>
      </c>
      <c r="O98" s="1">
        <v>1691.52</v>
      </c>
      <c r="P98" cm="1">
        <f t="array" ref="P98">_xlfn.IFS(O98&gt;=3000,20%,O98&gt;=1000,15%,O98&gt;=500,10%,O98&gt;=200,5%,O98&lt;200,0%)</f>
        <v>0.15</v>
      </c>
      <c r="Q98">
        <f t="shared" si="2"/>
        <v>253.72799999999998</v>
      </c>
      <c r="R98" t="str">
        <f t="shared" si="3"/>
        <v>Missing Data</v>
      </c>
    </row>
    <row r="99" spans="1:18" x14ac:dyDescent="0.35">
      <c r="A99" s="1" t="s">
        <v>203</v>
      </c>
      <c r="B99" s="2">
        <v>45300</v>
      </c>
      <c r="C99" s="1" t="s">
        <v>204</v>
      </c>
      <c r="D99" s="1">
        <v>28</v>
      </c>
      <c r="E99" s="1" t="s">
        <v>20</v>
      </c>
      <c r="F99" s="1" t="s">
        <v>27</v>
      </c>
      <c r="G99" s="1" t="s">
        <v>34</v>
      </c>
      <c r="H99" s="1" t="s">
        <v>125</v>
      </c>
      <c r="I99" s="1">
        <v>694.69</v>
      </c>
      <c r="J99" s="1">
        <v>1</v>
      </c>
      <c r="K99" s="1">
        <v>10</v>
      </c>
      <c r="L99" s="1" t="s">
        <v>43</v>
      </c>
      <c r="M99" s="1">
        <v>4</v>
      </c>
      <c r="N99" s="1">
        <v>9</v>
      </c>
      <c r="O99" s="1">
        <v>625.221</v>
      </c>
      <c r="P99" cm="1">
        <f t="array" ref="P99">_xlfn.IFS(O99&gt;=3000,20%,O99&gt;=1000,15%,O99&gt;=500,10%,O99&gt;=200,5%,O99&lt;200,0%)</f>
        <v>0.1</v>
      </c>
      <c r="Q99">
        <f t="shared" si="2"/>
        <v>62.522100000000002</v>
      </c>
      <c r="R99" t="str">
        <f t="shared" si="3"/>
        <v>Low Risk</v>
      </c>
    </row>
    <row r="100" spans="1:18" x14ac:dyDescent="0.35">
      <c r="A100" s="1" t="s">
        <v>205</v>
      </c>
      <c r="B100" s="2">
        <v>45635</v>
      </c>
      <c r="C100" s="1" t="s">
        <v>100</v>
      </c>
      <c r="D100" s="1">
        <v>35</v>
      </c>
      <c r="E100" s="1" t="s">
        <v>20</v>
      </c>
      <c r="F100" s="1" t="s">
        <v>27</v>
      </c>
      <c r="G100" s="1" t="s">
        <v>22</v>
      </c>
      <c r="H100" s="1" t="s">
        <v>125</v>
      </c>
      <c r="I100" s="1">
        <v>630.59</v>
      </c>
      <c r="J100" s="1">
        <v>2</v>
      </c>
      <c r="K100" s="1">
        <v>20</v>
      </c>
      <c r="L100" s="1" t="s">
        <v>52</v>
      </c>
      <c r="M100" s="1">
        <v>5</v>
      </c>
      <c r="N100" s="1">
        <v>6</v>
      </c>
      <c r="O100" s="1">
        <v>1008.944</v>
      </c>
      <c r="P100" cm="1">
        <f t="array" ref="P100">_xlfn.IFS(O100&gt;=3000,20%,O100&gt;=1000,15%,O100&gt;=500,10%,O100&gt;=200,5%,O100&lt;200,0%)</f>
        <v>0.15</v>
      </c>
      <c r="Q100">
        <f t="shared" si="2"/>
        <v>151.3416</v>
      </c>
      <c r="R100" t="str">
        <f t="shared" si="3"/>
        <v>Medium Risk</v>
      </c>
    </row>
    <row r="101" spans="1:18" x14ac:dyDescent="0.35">
      <c r="A101" s="1" t="s">
        <v>206</v>
      </c>
      <c r="B101" s="2">
        <v>45420</v>
      </c>
      <c r="C101" s="1" t="s">
        <v>87</v>
      </c>
      <c r="D101" s="1">
        <v>29</v>
      </c>
      <c r="E101" s="1" t="s">
        <v>20</v>
      </c>
      <c r="F101" s="1" t="s">
        <v>33</v>
      </c>
      <c r="G101" s="1" t="s">
        <v>22</v>
      </c>
      <c r="H101" s="1" t="s">
        <v>35</v>
      </c>
      <c r="I101" s="1">
        <v>527.9</v>
      </c>
      <c r="J101" s="1">
        <v>3</v>
      </c>
      <c r="K101" s="1">
        <v>10</v>
      </c>
      <c r="L101" s="1" t="s">
        <v>43</v>
      </c>
      <c r="M101" s="1">
        <v>5</v>
      </c>
      <c r="N101" s="1">
        <v>4</v>
      </c>
      <c r="O101" s="1">
        <v>1425.33</v>
      </c>
      <c r="P101" cm="1">
        <f t="array" ref="P101">_xlfn.IFS(O101&gt;=3000,20%,O101&gt;=1000,15%,O101&gt;=500,10%,O101&gt;=200,5%,O101&lt;200,0%)</f>
        <v>0.15</v>
      </c>
      <c r="Q101">
        <f t="shared" si="2"/>
        <v>213.79949999999999</v>
      </c>
      <c r="R101" t="str">
        <f t="shared" si="3"/>
        <v>Low Risk</v>
      </c>
    </row>
    <row r="102" spans="1:18" x14ac:dyDescent="0.35">
      <c r="A102" s="1" t="s">
        <v>207</v>
      </c>
      <c r="B102" s="2">
        <v>45427</v>
      </c>
      <c r="C102" s="1" t="s">
        <v>128</v>
      </c>
      <c r="D102" s="1">
        <v>26</v>
      </c>
      <c r="E102" s="1" t="s">
        <v>20</v>
      </c>
      <c r="F102" s="1" t="s">
        <v>46</v>
      </c>
      <c r="G102" s="1" t="s">
        <v>41</v>
      </c>
      <c r="H102" s="1" t="s">
        <v>96</v>
      </c>
      <c r="I102" s="1">
        <v>394</v>
      </c>
      <c r="J102" s="1">
        <v>4</v>
      </c>
      <c r="K102" s="1">
        <v>10</v>
      </c>
      <c r="L102" s="1" t="s">
        <v>52</v>
      </c>
      <c r="M102" s="1">
        <v>2</v>
      </c>
      <c r="N102" s="1">
        <v>2</v>
      </c>
      <c r="O102" s="1">
        <v>1418.4</v>
      </c>
      <c r="P102" cm="1">
        <f t="array" ref="P102">_xlfn.IFS(O102&gt;=3000,20%,O102&gt;=1000,15%,O102&gt;=500,10%,O102&gt;=200,5%,O102&lt;200,0%)</f>
        <v>0.15</v>
      </c>
      <c r="Q102">
        <f t="shared" si="2"/>
        <v>212.76000000000002</v>
      </c>
      <c r="R102" t="str">
        <f t="shared" si="3"/>
        <v>Medium Risk</v>
      </c>
    </row>
    <row r="103" spans="1:18" x14ac:dyDescent="0.35">
      <c r="A103" s="1" t="s">
        <v>208</v>
      </c>
      <c r="B103" s="2">
        <v>45354</v>
      </c>
      <c r="C103" s="1" t="s">
        <v>172</v>
      </c>
      <c r="D103" s="1">
        <v>27</v>
      </c>
      <c r="E103" s="1" t="s">
        <v>32</v>
      </c>
      <c r="F103" s="1" t="s">
        <v>21</v>
      </c>
      <c r="G103" s="1" t="s">
        <v>47</v>
      </c>
      <c r="H103" s="1" t="s">
        <v>42</v>
      </c>
      <c r="I103" s="1">
        <v>532.82000000000005</v>
      </c>
      <c r="J103" s="1">
        <v>4</v>
      </c>
      <c r="K103" s="1">
        <v>15</v>
      </c>
      <c r="L103" s="1" t="s">
        <v>29</v>
      </c>
      <c r="M103" s="1">
        <v>2</v>
      </c>
      <c r="N103" s="1">
        <v>6</v>
      </c>
      <c r="O103" s="1">
        <v>1811.588</v>
      </c>
      <c r="P103" cm="1">
        <f t="array" ref="P103">_xlfn.IFS(O103&gt;=3000,20%,O103&gt;=1000,15%,O103&gt;=500,10%,O103&gt;=200,5%,O103&lt;200,0%)</f>
        <v>0.15</v>
      </c>
      <c r="Q103">
        <f t="shared" si="2"/>
        <v>271.73820000000001</v>
      </c>
      <c r="R103" t="str">
        <f t="shared" si="3"/>
        <v>Medium Risk</v>
      </c>
    </row>
    <row r="104" spans="1:18" x14ac:dyDescent="0.35">
      <c r="A104" s="1" t="s">
        <v>209</v>
      </c>
      <c r="B104" s="2">
        <v>45430</v>
      </c>
      <c r="C104" s="1" t="s">
        <v>182</v>
      </c>
      <c r="D104" s="1">
        <v>34</v>
      </c>
      <c r="E104" s="1" t="s">
        <v>32</v>
      </c>
      <c r="F104" s="1" t="s">
        <v>51</v>
      </c>
      <c r="G104" s="1" t="s">
        <v>47</v>
      </c>
      <c r="H104" s="1" t="s">
        <v>55</v>
      </c>
      <c r="I104" s="1">
        <v>933.18</v>
      </c>
      <c r="J104" s="1">
        <v>1</v>
      </c>
      <c r="K104" s="1">
        <v>10</v>
      </c>
      <c r="L104" s="1" t="s">
        <v>29</v>
      </c>
      <c r="M104" s="1">
        <v>1</v>
      </c>
      <c r="N104" s="1">
        <v>2</v>
      </c>
      <c r="O104" s="1">
        <v>839.86199999999997</v>
      </c>
      <c r="P104" cm="1">
        <f t="array" ref="P104">_xlfn.IFS(O104&gt;=3000,20%,O104&gt;=1000,15%,O104&gt;=500,10%,O104&gt;=200,5%,O104&lt;200,0%)</f>
        <v>0.1</v>
      </c>
      <c r="Q104">
        <f t="shared" si="2"/>
        <v>83.986199999999997</v>
      </c>
      <c r="R104" t="str">
        <f t="shared" si="3"/>
        <v>High Risk</v>
      </c>
    </row>
    <row r="105" spans="1:18" x14ac:dyDescent="0.35">
      <c r="A105" s="1" t="s">
        <v>210</v>
      </c>
      <c r="B105" s="2">
        <v>45372</v>
      </c>
      <c r="C105" s="1" t="s">
        <v>70</v>
      </c>
      <c r="D105" s="1">
        <v>55</v>
      </c>
      <c r="E105" s="1" t="s">
        <v>20</v>
      </c>
      <c r="F105" s="1" t="s">
        <v>21</v>
      </c>
      <c r="G105" s="1" t="s">
        <v>22</v>
      </c>
      <c r="H105" s="1" t="s">
        <v>35</v>
      </c>
      <c r="I105" s="1">
        <v>730.27</v>
      </c>
      <c r="J105" s="1">
        <v>1</v>
      </c>
      <c r="K105" s="1">
        <v>10</v>
      </c>
      <c r="L105" s="1" t="s">
        <v>52</v>
      </c>
      <c r="M105" s="1">
        <v>4</v>
      </c>
      <c r="N105" s="1">
        <v>5</v>
      </c>
      <c r="O105" s="1">
        <v>657.24300000000005</v>
      </c>
      <c r="P105" cm="1">
        <f t="array" ref="P105">_xlfn.IFS(O105&gt;=3000,20%,O105&gt;=1000,15%,O105&gt;=500,10%,O105&gt;=200,5%,O105&lt;200,0%)</f>
        <v>0.1</v>
      </c>
      <c r="Q105">
        <f t="shared" si="2"/>
        <v>65.724300000000014</v>
      </c>
      <c r="R105" t="str">
        <f t="shared" si="3"/>
        <v>Low Risk</v>
      </c>
    </row>
    <row r="106" spans="1:18" x14ac:dyDescent="0.35">
      <c r="A106" s="1" t="s">
        <v>211</v>
      </c>
      <c r="B106" s="2">
        <v>45454</v>
      </c>
      <c r="C106" s="1" t="s">
        <v>31</v>
      </c>
      <c r="E106" s="1" t="s">
        <v>20</v>
      </c>
      <c r="G106" s="1" t="s">
        <v>38</v>
      </c>
      <c r="H106" s="1" t="s">
        <v>96</v>
      </c>
      <c r="I106" s="1">
        <v>1073.18</v>
      </c>
      <c r="J106" s="1">
        <v>1</v>
      </c>
      <c r="K106" s="1">
        <v>5</v>
      </c>
      <c r="L106" s="1" t="s">
        <v>24</v>
      </c>
      <c r="N106" s="1">
        <v>6</v>
      </c>
      <c r="O106" s="1">
        <v>1019.521</v>
      </c>
      <c r="P106" cm="1">
        <f t="array" ref="P106">_xlfn.IFS(O106&gt;=3000,20%,O106&gt;=1000,15%,O106&gt;=500,10%,O106&gt;=200,5%,O106&lt;200,0%)</f>
        <v>0.15</v>
      </c>
      <c r="Q106">
        <f t="shared" si="2"/>
        <v>152.92814999999999</v>
      </c>
      <c r="R106" t="str">
        <f t="shared" si="3"/>
        <v>Missing Data</v>
      </c>
    </row>
    <row r="107" spans="1:18" x14ac:dyDescent="0.35">
      <c r="A107" s="1" t="s">
        <v>212</v>
      </c>
      <c r="B107" s="2">
        <v>45580</v>
      </c>
      <c r="C107" s="1" t="s">
        <v>213</v>
      </c>
      <c r="D107" s="1">
        <v>30</v>
      </c>
      <c r="E107" s="1" t="s">
        <v>32</v>
      </c>
      <c r="F107" s="1" t="s">
        <v>27</v>
      </c>
      <c r="G107" s="1" t="s">
        <v>34</v>
      </c>
      <c r="H107" s="1" t="s">
        <v>28</v>
      </c>
      <c r="I107" s="1">
        <v>543.19000000000005</v>
      </c>
      <c r="J107" s="1">
        <v>3</v>
      </c>
      <c r="K107" s="1">
        <v>0</v>
      </c>
      <c r="L107" s="1" t="s">
        <v>43</v>
      </c>
      <c r="M107" s="1">
        <v>5</v>
      </c>
      <c r="N107" s="1">
        <v>4</v>
      </c>
      <c r="O107" s="1">
        <v>1629.57</v>
      </c>
      <c r="P107" cm="1">
        <f t="array" ref="P107">_xlfn.IFS(O107&gt;=3000,20%,O107&gt;=1000,15%,O107&gt;=500,10%,O107&gt;=200,5%,O107&lt;200,0%)</f>
        <v>0.15</v>
      </c>
      <c r="Q107">
        <f t="shared" si="2"/>
        <v>244.43549999999999</v>
      </c>
      <c r="R107" t="str">
        <f t="shared" si="3"/>
        <v>Low Risk</v>
      </c>
    </row>
    <row r="108" spans="1:18" x14ac:dyDescent="0.35">
      <c r="A108" s="1" t="s">
        <v>214</v>
      </c>
      <c r="B108" s="2">
        <v>45552</v>
      </c>
      <c r="C108" s="1" t="s">
        <v>186</v>
      </c>
      <c r="D108" s="1">
        <v>57</v>
      </c>
      <c r="E108" s="1" t="s">
        <v>20</v>
      </c>
      <c r="F108" s="1" t="s">
        <v>27</v>
      </c>
      <c r="G108" s="1" t="s">
        <v>38</v>
      </c>
      <c r="H108" s="1" t="s">
        <v>79</v>
      </c>
      <c r="I108" s="1">
        <v>736.37</v>
      </c>
      <c r="J108" s="1">
        <v>2</v>
      </c>
      <c r="K108" s="1">
        <v>15</v>
      </c>
      <c r="L108" s="1" t="s">
        <v>43</v>
      </c>
      <c r="M108" s="1">
        <v>1</v>
      </c>
      <c r="N108" s="1">
        <v>3</v>
      </c>
      <c r="O108" s="1">
        <v>1251.829</v>
      </c>
      <c r="P108" cm="1">
        <f t="array" ref="P108">_xlfn.IFS(O108&gt;=3000,20%,O108&gt;=1000,15%,O108&gt;=500,10%,O108&gt;=200,5%,O108&lt;200,0%)</f>
        <v>0.15</v>
      </c>
      <c r="Q108">
        <f t="shared" si="2"/>
        <v>187.77435</v>
      </c>
      <c r="R108" t="str">
        <f t="shared" si="3"/>
        <v>High Risk</v>
      </c>
    </row>
    <row r="109" spans="1:18" x14ac:dyDescent="0.35">
      <c r="A109" s="1" t="s">
        <v>215</v>
      </c>
      <c r="B109" s="2">
        <v>45522</v>
      </c>
      <c r="C109" s="1" t="s">
        <v>216</v>
      </c>
      <c r="D109" s="1">
        <v>59</v>
      </c>
      <c r="E109" s="1" t="s">
        <v>20</v>
      </c>
      <c r="F109" s="1" t="s">
        <v>46</v>
      </c>
      <c r="G109" s="1" t="s">
        <v>38</v>
      </c>
      <c r="H109" s="1" t="s">
        <v>79</v>
      </c>
      <c r="I109" s="1">
        <v>764.94</v>
      </c>
      <c r="J109" s="1">
        <v>3</v>
      </c>
      <c r="K109" s="1">
        <v>15</v>
      </c>
      <c r="L109" s="1" t="s">
        <v>43</v>
      </c>
      <c r="N109" s="1">
        <v>7</v>
      </c>
      <c r="O109" s="1">
        <v>1950.597</v>
      </c>
      <c r="P109" cm="1">
        <f t="array" ref="P109">_xlfn.IFS(O109&gt;=3000,20%,O109&gt;=1000,15%,O109&gt;=500,10%,O109&gt;=200,5%,O109&lt;200,0%)</f>
        <v>0.15</v>
      </c>
      <c r="Q109">
        <f t="shared" si="2"/>
        <v>292.58954999999997</v>
      </c>
      <c r="R109" t="str">
        <f t="shared" si="3"/>
        <v>Missing Data</v>
      </c>
    </row>
    <row r="110" spans="1:18" x14ac:dyDescent="0.35">
      <c r="A110" s="1" t="s">
        <v>217</v>
      </c>
      <c r="B110" s="2">
        <v>45332</v>
      </c>
      <c r="C110" s="1" t="s">
        <v>85</v>
      </c>
      <c r="D110" s="1">
        <v>26</v>
      </c>
      <c r="E110" s="1" t="s">
        <v>32</v>
      </c>
      <c r="F110" s="1" t="s">
        <v>27</v>
      </c>
      <c r="G110" s="1" t="s">
        <v>22</v>
      </c>
      <c r="H110" s="1" t="s">
        <v>42</v>
      </c>
      <c r="I110" s="1">
        <v>718.2</v>
      </c>
      <c r="J110" s="1">
        <v>4</v>
      </c>
      <c r="K110" s="1">
        <v>15</v>
      </c>
      <c r="L110" s="1" t="s">
        <v>52</v>
      </c>
      <c r="M110" s="1">
        <v>4</v>
      </c>
      <c r="N110" s="1">
        <v>2</v>
      </c>
      <c r="O110" s="1">
        <v>2441.88</v>
      </c>
      <c r="P110" cm="1">
        <f t="array" ref="P110">_xlfn.IFS(O110&gt;=3000,20%,O110&gt;=1000,15%,O110&gt;=500,10%,O110&gt;=200,5%,O110&lt;200,0%)</f>
        <v>0.15</v>
      </c>
      <c r="Q110">
        <f t="shared" si="2"/>
        <v>366.28199999999998</v>
      </c>
      <c r="R110" t="str">
        <f t="shared" si="3"/>
        <v>Medium Risk</v>
      </c>
    </row>
    <row r="111" spans="1:18" x14ac:dyDescent="0.35">
      <c r="A111" s="1" t="s">
        <v>218</v>
      </c>
      <c r="B111" s="2">
        <v>45319</v>
      </c>
      <c r="C111" s="1" t="s">
        <v>219</v>
      </c>
      <c r="D111" s="1">
        <v>44</v>
      </c>
      <c r="E111" s="1" t="s">
        <v>20</v>
      </c>
      <c r="F111" s="1" t="s">
        <v>27</v>
      </c>
      <c r="G111" s="1" t="s">
        <v>22</v>
      </c>
      <c r="H111" s="1" t="s">
        <v>48</v>
      </c>
      <c r="I111" s="1">
        <v>849.11</v>
      </c>
      <c r="J111" s="1">
        <v>1</v>
      </c>
      <c r="K111" s="1">
        <v>5</v>
      </c>
      <c r="L111" s="1" t="s">
        <v>29</v>
      </c>
      <c r="M111" s="1">
        <v>1</v>
      </c>
      <c r="N111" s="1">
        <v>6</v>
      </c>
      <c r="O111" s="1">
        <v>806.65449999999998</v>
      </c>
      <c r="P111" cm="1">
        <f t="array" ref="P111">_xlfn.IFS(O111&gt;=3000,20%,O111&gt;=1000,15%,O111&gt;=500,10%,O111&gt;=200,5%,O111&lt;200,0%)</f>
        <v>0.1</v>
      </c>
      <c r="Q111">
        <f t="shared" si="2"/>
        <v>80.665450000000007</v>
      </c>
      <c r="R111" t="str">
        <f t="shared" si="3"/>
        <v>High Risk</v>
      </c>
    </row>
    <row r="112" spans="1:18" x14ac:dyDescent="0.35">
      <c r="A112" s="1" t="s">
        <v>220</v>
      </c>
      <c r="B112" s="2">
        <v>45426</v>
      </c>
      <c r="C112" s="1" t="s">
        <v>102</v>
      </c>
      <c r="D112" s="1">
        <v>19</v>
      </c>
      <c r="E112" s="1" t="s">
        <v>20</v>
      </c>
      <c r="F112" s="1" t="s">
        <v>27</v>
      </c>
      <c r="G112" s="1" t="s">
        <v>22</v>
      </c>
      <c r="H112" s="1" t="s">
        <v>64</v>
      </c>
      <c r="I112" s="1">
        <v>300.17</v>
      </c>
      <c r="J112" s="1">
        <v>2</v>
      </c>
      <c r="K112" s="1">
        <v>10</v>
      </c>
      <c r="L112" s="1" t="s">
        <v>43</v>
      </c>
      <c r="M112" s="1">
        <v>1</v>
      </c>
      <c r="N112" s="1">
        <v>4</v>
      </c>
      <c r="O112" s="1">
        <v>540.30600000000004</v>
      </c>
      <c r="P112" cm="1">
        <f t="array" ref="P112">_xlfn.IFS(O112&gt;=3000,20%,O112&gt;=1000,15%,O112&gt;=500,10%,O112&gt;=200,5%,O112&lt;200,0%)</f>
        <v>0.1</v>
      </c>
      <c r="Q112">
        <f t="shared" si="2"/>
        <v>54.030600000000007</v>
      </c>
      <c r="R112" t="str">
        <f t="shared" si="3"/>
        <v>High Risk</v>
      </c>
    </row>
    <row r="113" spans="1:18" x14ac:dyDescent="0.35">
      <c r="A113" s="1" t="s">
        <v>221</v>
      </c>
      <c r="B113" s="2">
        <v>45492</v>
      </c>
      <c r="C113" s="1" t="s">
        <v>150</v>
      </c>
      <c r="D113" s="1">
        <v>22</v>
      </c>
      <c r="E113" s="1" t="s">
        <v>20</v>
      </c>
      <c r="F113" s="1" t="s">
        <v>51</v>
      </c>
      <c r="G113" s="1" t="s">
        <v>22</v>
      </c>
      <c r="H113" s="1" t="s">
        <v>35</v>
      </c>
      <c r="I113" s="1">
        <v>624.59</v>
      </c>
      <c r="J113" s="1">
        <v>4</v>
      </c>
      <c r="K113" s="1">
        <v>0</v>
      </c>
      <c r="L113" s="1" t="s">
        <v>29</v>
      </c>
      <c r="M113" s="1">
        <v>5</v>
      </c>
      <c r="N113" s="1">
        <v>6</v>
      </c>
      <c r="O113" s="1">
        <v>2498.36</v>
      </c>
      <c r="P113" cm="1">
        <f t="array" ref="P113">_xlfn.IFS(O113&gt;=3000,20%,O113&gt;=1000,15%,O113&gt;=500,10%,O113&gt;=200,5%,O113&lt;200,0%)</f>
        <v>0.15</v>
      </c>
      <c r="Q113">
        <f t="shared" si="2"/>
        <v>374.75400000000002</v>
      </c>
      <c r="R113" t="str">
        <f t="shared" si="3"/>
        <v>Low Risk</v>
      </c>
    </row>
    <row r="114" spans="1:18" x14ac:dyDescent="0.35">
      <c r="A114" s="1" t="s">
        <v>222</v>
      </c>
      <c r="B114" s="2">
        <v>45619</v>
      </c>
      <c r="C114" s="1" t="s">
        <v>57</v>
      </c>
      <c r="D114" s="1">
        <v>46</v>
      </c>
      <c r="E114" s="1" t="s">
        <v>32</v>
      </c>
      <c r="F114" s="1" t="s">
        <v>51</v>
      </c>
      <c r="G114" s="1" t="s">
        <v>47</v>
      </c>
      <c r="H114" s="1" t="s">
        <v>35</v>
      </c>
      <c r="I114" s="1">
        <v>142.99</v>
      </c>
      <c r="J114" s="1">
        <v>4</v>
      </c>
      <c r="K114" s="1">
        <v>20</v>
      </c>
      <c r="L114" s="1" t="s">
        <v>43</v>
      </c>
      <c r="M114" s="1">
        <v>1</v>
      </c>
      <c r="N114" s="1">
        <v>4</v>
      </c>
      <c r="O114" s="1">
        <v>457.56799999999998</v>
      </c>
      <c r="P114" cm="1">
        <f t="array" ref="P114">_xlfn.IFS(O114&gt;=3000,20%,O114&gt;=1000,15%,O114&gt;=500,10%,O114&gt;=200,5%,O114&lt;200,0%)</f>
        <v>0.05</v>
      </c>
      <c r="Q114">
        <f t="shared" si="2"/>
        <v>22.878399999999999</v>
      </c>
      <c r="R114" t="str">
        <f t="shared" si="3"/>
        <v>High Risk</v>
      </c>
    </row>
    <row r="115" spans="1:18" x14ac:dyDescent="0.35">
      <c r="A115" s="1" t="s">
        <v>223</v>
      </c>
      <c r="B115" s="2">
        <v>45559</v>
      </c>
      <c r="C115" s="1" t="s">
        <v>178</v>
      </c>
      <c r="D115" s="1">
        <v>54</v>
      </c>
      <c r="E115" s="1" t="s">
        <v>32</v>
      </c>
      <c r="F115" s="1" t="s">
        <v>33</v>
      </c>
      <c r="G115" s="1" t="s">
        <v>22</v>
      </c>
      <c r="H115" s="1" t="s">
        <v>55</v>
      </c>
      <c r="I115" s="1">
        <v>473.72</v>
      </c>
      <c r="J115" s="1">
        <v>4</v>
      </c>
      <c r="K115" s="1">
        <v>10</v>
      </c>
      <c r="L115" s="1" t="s">
        <v>43</v>
      </c>
      <c r="M115" s="1">
        <v>2</v>
      </c>
      <c r="N115" s="1">
        <v>4</v>
      </c>
      <c r="O115" s="1">
        <v>1705.3920000000001</v>
      </c>
      <c r="P115" cm="1">
        <f t="array" ref="P115">_xlfn.IFS(O115&gt;=3000,20%,O115&gt;=1000,15%,O115&gt;=500,10%,O115&gt;=200,5%,O115&lt;200,0%)</f>
        <v>0.15</v>
      </c>
      <c r="Q115">
        <f t="shared" si="2"/>
        <v>255.80879999999999</v>
      </c>
      <c r="R115" t="str">
        <f t="shared" si="3"/>
        <v>Medium Risk</v>
      </c>
    </row>
    <row r="116" spans="1:18" x14ac:dyDescent="0.35">
      <c r="A116" s="1" t="s">
        <v>224</v>
      </c>
      <c r="B116" s="2">
        <v>45324</v>
      </c>
      <c r="C116" s="1" t="s">
        <v>225</v>
      </c>
      <c r="D116" s="1">
        <v>55</v>
      </c>
      <c r="E116" s="1" t="s">
        <v>32</v>
      </c>
      <c r="F116" s="1" t="s">
        <v>21</v>
      </c>
      <c r="G116" s="1" t="s">
        <v>47</v>
      </c>
      <c r="H116" s="1" t="s">
        <v>55</v>
      </c>
      <c r="I116" s="1">
        <v>595.45000000000005</v>
      </c>
      <c r="J116" s="1">
        <v>3</v>
      </c>
      <c r="K116" s="1">
        <v>5</v>
      </c>
      <c r="L116" s="1" t="s">
        <v>52</v>
      </c>
      <c r="M116" s="1">
        <v>2</v>
      </c>
      <c r="N116" s="1">
        <v>4</v>
      </c>
      <c r="O116" s="1">
        <v>1697.0325</v>
      </c>
      <c r="P116" cm="1">
        <f t="array" ref="P116">_xlfn.IFS(O116&gt;=3000,20%,O116&gt;=1000,15%,O116&gt;=500,10%,O116&gt;=200,5%,O116&lt;200,0%)</f>
        <v>0.15</v>
      </c>
      <c r="Q116">
        <f t="shared" si="2"/>
        <v>254.55487499999998</v>
      </c>
      <c r="R116" t="str">
        <f t="shared" si="3"/>
        <v>Medium Risk</v>
      </c>
    </row>
    <row r="117" spans="1:18" x14ac:dyDescent="0.35">
      <c r="A117" s="1" t="s">
        <v>226</v>
      </c>
      <c r="B117" s="2">
        <v>45339</v>
      </c>
      <c r="C117" s="1" t="s">
        <v>164</v>
      </c>
      <c r="D117" s="1">
        <v>36</v>
      </c>
      <c r="E117" s="1" t="s">
        <v>20</v>
      </c>
      <c r="F117" s="1" t="s">
        <v>46</v>
      </c>
      <c r="G117" s="1" t="s">
        <v>47</v>
      </c>
      <c r="H117" s="1" t="s">
        <v>79</v>
      </c>
      <c r="I117" s="1">
        <v>789.62</v>
      </c>
      <c r="J117" s="1">
        <v>1</v>
      </c>
      <c r="K117" s="1">
        <v>10</v>
      </c>
      <c r="L117" s="1" t="s">
        <v>24</v>
      </c>
      <c r="M117" s="1">
        <v>3</v>
      </c>
      <c r="N117" s="1">
        <v>9</v>
      </c>
      <c r="O117" s="1">
        <v>710.65800000000002</v>
      </c>
      <c r="P117" cm="1">
        <f t="array" ref="P117">_xlfn.IFS(O117&gt;=3000,20%,O117&gt;=1000,15%,O117&gt;=500,10%,O117&gt;=200,5%,O117&lt;200,0%)</f>
        <v>0.1</v>
      </c>
      <c r="Q117">
        <f t="shared" si="2"/>
        <v>71.06580000000001</v>
      </c>
      <c r="R117" t="str">
        <f t="shared" si="3"/>
        <v>Medium Risk</v>
      </c>
    </row>
    <row r="118" spans="1:18" x14ac:dyDescent="0.35">
      <c r="A118" s="1" t="s">
        <v>227</v>
      </c>
      <c r="B118" s="2">
        <v>45353</v>
      </c>
      <c r="C118" s="1" t="s">
        <v>72</v>
      </c>
      <c r="D118" s="1">
        <v>25</v>
      </c>
      <c r="E118" s="1" t="s">
        <v>20</v>
      </c>
      <c r="F118" s="1" t="s">
        <v>46</v>
      </c>
      <c r="G118" s="1" t="s">
        <v>22</v>
      </c>
      <c r="H118" s="1" t="s">
        <v>79</v>
      </c>
      <c r="I118" s="1">
        <v>1141.6300000000001</v>
      </c>
      <c r="J118" s="1">
        <v>4</v>
      </c>
      <c r="K118" s="1">
        <v>10</v>
      </c>
      <c r="L118" s="1" t="s">
        <v>52</v>
      </c>
      <c r="M118" s="1">
        <v>5</v>
      </c>
      <c r="N118" s="1">
        <v>7</v>
      </c>
      <c r="O118" s="1">
        <v>4109.8680000000004</v>
      </c>
      <c r="P118" cm="1">
        <f t="array" ref="P118">_xlfn.IFS(O118&gt;=3000,20%,O118&gt;=1000,15%,O118&gt;=500,10%,O118&gt;=200,5%,O118&lt;200,0%)</f>
        <v>0.2</v>
      </c>
      <c r="Q118">
        <f t="shared" si="2"/>
        <v>821.97360000000015</v>
      </c>
      <c r="R118" t="str">
        <f t="shared" si="3"/>
        <v>Low Risk</v>
      </c>
    </row>
    <row r="119" spans="1:18" x14ac:dyDescent="0.35">
      <c r="A119" s="1" t="s">
        <v>228</v>
      </c>
      <c r="B119" s="2">
        <v>45507</v>
      </c>
      <c r="C119" s="1" t="s">
        <v>229</v>
      </c>
      <c r="D119" s="1">
        <v>18</v>
      </c>
      <c r="E119" s="1" t="s">
        <v>32</v>
      </c>
      <c r="F119" s="1" t="s">
        <v>46</v>
      </c>
      <c r="G119" s="1" t="s">
        <v>41</v>
      </c>
      <c r="H119" s="1" t="s">
        <v>23</v>
      </c>
      <c r="I119" s="1">
        <v>728.77</v>
      </c>
      <c r="J119" s="1">
        <v>1</v>
      </c>
      <c r="K119" s="1">
        <v>5</v>
      </c>
      <c r="L119" s="1" t="s">
        <v>43</v>
      </c>
      <c r="N119" s="1">
        <v>3</v>
      </c>
      <c r="O119" s="1">
        <v>692.33150000000001</v>
      </c>
      <c r="P119" cm="1">
        <f t="array" ref="P119">_xlfn.IFS(O119&gt;=3000,20%,O119&gt;=1000,15%,O119&gt;=500,10%,O119&gt;=200,5%,O119&lt;200,0%)</f>
        <v>0.1</v>
      </c>
      <c r="Q119">
        <f t="shared" si="2"/>
        <v>69.233150000000009</v>
      </c>
      <c r="R119" t="str">
        <f t="shared" si="3"/>
        <v>Missing Data</v>
      </c>
    </row>
    <row r="120" spans="1:18" x14ac:dyDescent="0.35">
      <c r="A120" s="1" t="s">
        <v>230</v>
      </c>
      <c r="B120" s="2">
        <v>45584</v>
      </c>
      <c r="C120" s="1" t="s">
        <v>93</v>
      </c>
      <c r="D120" s="1">
        <v>39</v>
      </c>
      <c r="E120" s="1" t="s">
        <v>20</v>
      </c>
      <c r="F120" s="1" t="s">
        <v>33</v>
      </c>
      <c r="G120" s="1" t="s">
        <v>34</v>
      </c>
      <c r="H120" s="1" t="s">
        <v>23</v>
      </c>
      <c r="I120" s="1">
        <v>897.44</v>
      </c>
      <c r="J120" s="1">
        <v>3</v>
      </c>
      <c r="K120" s="1">
        <v>15</v>
      </c>
      <c r="L120" s="1" t="s">
        <v>43</v>
      </c>
      <c r="M120" s="1">
        <v>3</v>
      </c>
      <c r="N120" s="1">
        <v>3</v>
      </c>
      <c r="O120" s="1">
        <v>2288.4720000000002</v>
      </c>
      <c r="P120" cm="1">
        <f t="array" ref="P120">_xlfn.IFS(O120&gt;=3000,20%,O120&gt;=1000,15%,O120&gt;=500,10%,O120&gt;=200,5%,O120&lt;200,0%)</f>
        <v>0.15</v>
      </c>
      <c r="Q120">
        <f t="shared" si="2"/>
        <v>343.27080000000001</v>
      </c>
      <c r="R120" t="str">
        <f t="shared" si="3"/>
        <v>Medium Risk</v>
      </c>
    </row>
    <row r="121" spans="1:18" x14ac:dyDescent="0.35">
      <c r="A121" s="1" t="s">
        <v>231</v>
      </c>
      <c r="B121" s="2">
        <v>45390</v>
      </c>
      <c r="C121" s="1" t="s">
        <v>111</v>
      </c>
      <c r="D121" s="1">
        <v>34</v>
      </c>
      <c r="E121" s="1" t="s">
        <v>20</v>
      </c>
      <c r="F121" s="1" t="s">
        <v>51</v>
      </c>
      <c r="G121" s="1" t="s">
        <v>38</v>
      </c>
      <c r="H121" s="1" t="s">
        <v>48</v>
      </c>
      <c r="I121" s="1">
        <v>617.39</v>
      </c>
      <c r="J121" s="1">
        <v>4</v>
      </c>
      <c r="K121" s="1">
        <v>15</v>
      </c>
      <c r="L121" s="1" t="s">
        <v>24</v>
      </c>
      <c r="M121" s="1">
        <v>2</v>
      </c>
      <c r="N121" s="1">
        <v>6</v>
      </c>
      <c r="O121" s="1">
        <v>2099.1260000000002</v>
      </c>
      <c r="P121" cm="1">
        <f t="array" ref="P121">_xlfn.IFS(O121&gt;=3000,20%,O121&gt;=1000,15%,O121&gt;=500,10%,O121&gt;=200,5%,O121&lt;200,0%)</f>
        <v>0.15</v>
      </c>
      <c r="Q121">
        <f t="shared" si="2"/>
        <v>314.8689</v>
      </c>
      <c r="R121" t="str">
        <f t="shared" si="3"/>
        <v>Medium Risk</v>
      </c>
    </row>
    <row r="122" spans="1:18" x14ac:dyDescent="0.35">
      <c r="A122" s="1" t="s">
        <v>232</v>
      </c>
      <c r="B122" s="2">
        <v>45463</v>
      </c>
      <c r="C122" s="1" t="s">
        <v>233</v>
      </c>
      <c r="D122" s="1">
        <v>24</v>
      </c>
      <c r="E122" s="1" t="s">
        <v>20</v>
      </c>
      <c r="F122" s="1" t="s">
        <v>33</v>
      </c>
      <c r="G122" s="1" t="s">
        <v>47</v>
      </c>
      <c r="H122" s="1" t="s">
        <v>23</v>
      </c>
      <c r="I122" s="1">
        <v>768.24</v>
      </c>
      <c r="J122" s="1">
        <v>3</v>
      </c>
      <c r="K122" s="1">
        <v>0</v>
      </c>
      <c r="L122" s="1" t="s">
        <v>29</v>
      </c>
      <c r="M122" s="1">
        <v>3</v>
      </c>
      <c r="N122" s="1">
        <v>6</v>
      </c>
      <c r="O122" s="1">
        <v>2304.7199999999998</v>
      </c>
      <c r="P122" cm="1">
        <f t="array" ref="P122">_xlfn.IFS(O122&gt;=3000,20%,O122&gt;=1000,15%,O122&gt;=500,10%,O122&gt;=200,5%,O122&lt;200,0%)</f>
        <v>0.15</v>
      </c>
      <c r="Q122">
        <f t="shared" si="2"/>
        <v>345.70799999999997</v>
      </c>
      <c r="R122" t="str">
        <f t="shared" si="3"/>
        <v>Medium Risk</v>
      </c>
    </row>
    <row r="123" spans="1:18" x14ac:dyDescent="0.35">
      <c r="A123" s="1" t="s">
        <v>234</v>
      </c>
      <c r="B123" s="2">
        <v>45651</v>
      </c>
      <c r="C123" s="1" t="s">
        <v>76</v>
      </c>
      <c r="D123" s="1">
        <v>42</v>
      </c>
      <c r="E123" s="1" t="s">
        <v>20</v>
      </c>
      <c r="F123" s="1" t="s">
        <v>46</v>
      </c>
      <c r="G123" s="1" t="s">
        <v>34</v>
      </c>
      <c r="H123" s="1" t="s">
        <v>64</v>
      </c>
      <c r="I123" s="1">
        <v>103.7</v>
      </c>
      <c r="J123" s="1">
        <v>3</v>
      </c>
      <c r="K123" s="1">
        <v>0</v>
      </c>
      <c r="L123" s="1" t="s">
        <v>29</v>
      </c>
      <c r="M123" s="1">
        <v>5</v>
      </c>
      <c r="N123" s="1">
        <v>4</v>
      </c>
      <c r="O123" s="1">
        <v>311.10000000000002</v>
      </c>
      <c r="P123" cm="1">
        <f t="array" ref="P123">_xlfn.IFS(O123&gt;=3000,20%,O123&gt;=1000,15%,O123&gt;=500,10%,O123&gt;=200,5%,O123&lt;200,0%)</f>
        <v>0.05</v>
      </c>
      <c r="Q123">
        <f t="shared" si="2"/>
        <v>15.555000000000001</v>
      </c>
      <c r="R123" t="str">
        <f t="shared" si="3"/>
        <v>Low Risk</v>
      </c>
    </row>
    <row r="124" spans="1:18" x14ac:dyDescent="0.35">
      <c r="A124" s="1" t="s">
        <v>235</v>
      </c>
      <c r="B124" s="2">
        <v>45505</v>
      </c>
      <c r="C124" s="1" t="s">
        <v>148</v>
      </c>
      <c r="D124" s="1">
        <v>21</v>
      </c>
      <c r="E124" s="1" t="s">
        <v>20</v>
      </c>
      <c r="F124" s="1" t="s">
        <v>21</v>
      </c>
      <c r="G124" s="1" t="s">
        <v>41</v>
      </c>
      <c r="H124" s="1" t="s">
        <v>64</v>
      </c>
      <c r="I124" s="1">
        <v>320.18</v>
      </c>
      <c r="J124" s="1">
        <v>1</v>
      </c>
      <c r="K124" s="1">
        <v>15</v>
      </c>
      <c r="L124" s="1" t="s">
        <v>43</v>
      </c>
      <c r="M124" s="1">
        <v>5</v>
      </c>
      <c r="N124" s="1">
        <v>9</v>
      </c>
      <c r="O124" s="1">
        <v>272.15300000000002</v>
      </c>
      <c r="P124" cm="1">
        <f t="array" ref="P124">_xlfn.IFS(O124&gt;=3000,20%,O124&gt;=1000,15%,O124&gt;=500,10%,O124&gt;=200,5%,O124&lt;200,0%)</f>
        <v>0.05</v>
      </c>
      <c r="Q124">
        <f t="shared" si="2"/>
        <v>13.607650000000001</v>
      </c>
      <c r="R124" t="str">
        <f t="shared" si="3"/>
        <v>Medium Risk</v>
      </c>
    </row>
    <row r="125" spans="1:18" x14ac:dyDescent="0.35">
      <c r="A125" s="1" t="s">
        <v>236</v>
      </c>
      <c r="B125" s="2">
        <v>45326</v>
      </c>
      <c r="C125" s="1" t="s">
        <v>237</v>
      </c>
      <c r="D125" s="1">
        <v>53</v>
      </c>
      <c r="E125" s="1" t="s">
        <v>32</v>
      </c>
      <c r="F125" s="1" t="s">
        <v>27</v>
      </c>
      <c r="G125" s="1" t="s">
        <v>38</v>
      </c>
      <c r="H125" s="1" t="s">
        <v>35</v>
      </c>
      <c r="I125" s="1">
        <v>446.99</v>
      </c>
      <c r="J125" s="1">
        <v>4</v>
      </c>
      <c r="K125" s="1">
        <v>20</v>
      </c>
      <c r="L125" s="1" t="s">
        <v>29</v>
      </c>
      <c r="M125" s="1">
        <v>1</v>
      </c>
      <c r="N125" s="1">
        <v>4</v>
      </c>
      <c r="O125" s="1">
        <v>1430.3679999999999</v>
      </c>
      <c r="P125" cm="1">
        <f t="array" ref="P125">_xlfn.IFS(O125&gt;=3000,20%,O125&gt;=1000,15%,O125&gt;=500,10%,O125&gt;=200,5%,O125&lt;200,0%)</f>
        <v>0.15</v>
      </c>
      <c r="Q125">
        <f t="shared" si="2"/>
        <v>214.55519999999999</v>
      </c>
      <c r="R125" t="str">
        <f t="shared" si="3"/>
        <v>High Risk</v>
      </c>
    </row>
    <row r="126" spans="1:18" x14ac:dyDescent="0.35">
      <c r="A126" s="1" t="s">
        <v>238</v>
      </c>
      <c r="B126" s="2">
        <v>45518</v>
      </c>
      <c r="C126" s="1" t="s">
        <v>233</v>
      </c>
      <c r="E126" s="1" t="s">
        <v>20</v>
      </c>
      <c r="G126" s="1" t="s">
        <v>38</v>
      </c>
      <c r="H126" s="1" t="s">
        <v>125</v>
      </c>
      <c r="I126" s="1">
        <v>577.54</v>
      </c>
      <c r="J126" s="1">
        <v>3</v>
      </c>
      <c r="K126" s="1">
        <v>10</v>
      </c>
      <c r="L126" s="1" t="s">
        <v>43</v>
      </c>
      <c r="N126" s="1">
        <v>9</v>
      </c>
      <c r="O126" s="1">
        <v>1559.3579999999999</v>
      </c>
      <c r="P126" cm="1">
        <f t="array" ref="P126">_xlfn.IFS(O126&gt;=3000,20%,O126&gt;=1000,15%,O126&gt;=500,10%,O126&gt;=200,5%,O126&lt;200,0%)</f>
        <v>0.15</v>
      </c>
      <c r="Q126">
        <f t="shared" si="2"/>
        <v>233.90369999999999</v>
      </c>
      <c r="R126" t="str">
        <f t="shared" si="3"/>
        <v>Missing Data</v>
      </c>
    </row>
    <row r="127" spans="1:18" x14ac:dyDescent="0.35">
      <c r="A127" s="1" t="s">
        <v>239</v>
      </c>
      <c r="B127" s="2">
        <v>45392</v>
      </c>
      <c r="C127" s="1" t="s">
        <v>85</v>
      </c>
      <c r="D127" s="1">
        <v>48</v>
      </c>
      <c r="E127" s="1" t="s">
        <v>32</v>
      </c>
      <c r="F127" s="1" t="s">
        <v>51</v>
      </c>
      <c r="G127" s="1" t="s">
        <v>47</v>
      </c>
      <c r="H127" s="1" t="s">
        <v>64</v>
      </c>
      <c r="I127" s="1">
        <v>73.87</v>
      </c>
      <c r="J127" s="1">
        <v>4</v>
      </c>
      <c r="K127" s="1">
        <v>20</v>
      </c>
      <c r="L127" s="1" t="s">
        <v>24</v>
      </c>
      <c r="M127" s="1">
        <v>1</v>
      </c>
      <c r="N127" s="1">
        <v>4</v>
      </c>
      <c r="O127" s="1">
        <v>236.38399999999999</v>
      </c>
      <c r="P127" cm="1">
        <f t="array" ref="P127">_xlfn.IFS(O127&gt;=3000,20%,O127&gt;=1000,15%,O127&gt;=500,10%,O127&gt;=200,5%,O127&lt;200,0%)</f>
        <v>0.05</v>
      </c>
      <c r="Q127">
        <f t="shared" si="2"/>
        <v>11.8192</v>
      </c>
      <c r="R127" t="str">
        <f t="shared" si="3"/>
        <v>High Risk</v>
      </c>
    </row>
    <row r="128" spans="1:18" x14ac:dyDescent="0.35">
      <c r="A128" s="1" t="s">
        <v>240</v>
      </c>
      <c r="B128" s="2">
        <v>45422</v>
      </c>
      <c r="C128" s="1" t="s">
        <v>241</v>
      </c>
      <c r="D128" s="1">
        <v>36</v>
      </c>
      <c r="E128" s="1" t="s">
        <v>20</v>
      </c>
      <c r="F128" s="1" t="s">
        <v>33</v>
      </c>
      <c r="G128" s="1" t="s">
        <v>22</v>
      </c>
      <c r="H128" s="1" t="s">
        <v>96</v>
      </c>
      <c r="I128" s="1">
        <v>185.23</v>
      </c>
      <c r="J128" s="1">
        <v>1</v>
      </c>
      <c r="K128" s="1">
        <v>10</v>
      </c>
      <c r="L128" s="1" t="s">
        <v>24</v>
      </c>
      <c r="M128" s="1">
        <v>5</v>
      </c>
      <c r="N128" s="1">
        <v>2</v>
      </c>
      <c r="O128" s="1">
        <v>166.70699999999999</v>
      </c>
      <c r="P128" cm="1">
        <f t="array" ref="P128">_xlfn.IFS(O128&gt;=3000,20%,O128&gt;=1000,15%,O128&gt;=500,10%,O128&gt;=200,5%,O128&lt;200,0%)</f>
        <v>0</v>
      </c>
      <c r="Q128">
        <f t="shared" si="2"/>
        <v>0</v>
      </c>
      <c r="R128" t="str">
        <f t="shared" si="3"/>
        <v>Low Risk</v>
      </c>
    </row>
    <row r="129" spans="1:18" x14ac:dyDescent="0.35">
      <c r="A129" s="1" t="s">
        <v>242</v>
      </c>
      <c r="B129" s="2">
        <v>45548</v>
      </c>
      <c r="C129" s="1" t="s">
        <v>57</v>
      </c>
      <c r="D129" s="1">
        <v>56</v>
      </c>
      <c r="E129" s="1" t="s">
        <v>32</v>
      </c>
      <c r="F129" s="1" t="s">
        <v>51</v>
      </c>
      <c r="G129" s="1" t="s">
        <v>41</v>
      </c>
      <c r="H129" s="1" t="s">
        <v>79</v>
      </c>
      <c r="I129" s="1">
        <v>346.64</v>
      </c>
      <c r="J129" s="1">
        <v>3</v>
      </c>
      <c r="K129" s="1">
        <v>15</v>
      </c>
      <c r="L129" s="1" t="s">
        <v>43</v>
      </c>
      <c r="M129" s="1">
        <v>2</v>
      </c>
      <c r="N129" s="1">
        <v>2</v>
      </c>
      <c r="O129" s="1">
        <v>883.93200000000002</v>
      </c>
      <c r="P129" cm="1">
        <f t="array" ref="P129">_xlfn.IFS(O129&gt;=3000,20%,O129&gt;=1000,15%,O129&gt;=500,10%,O129&gt;=200,5%,O129&lt;200,0%)</f>
        <v>0.1</v>
      </c>
      <c r="Q129">
        <f t="shared" si="2"/>
        <v>88.393200000000007</v>
      </c>
      <c r="R129" t="str">
        <f t="shared" si="3"/>
        <v>Medium Risk</v>
      </c>
    </row>
    <row r="130" spans="1:18" x14ac:dyDescent="0.35">
      <c r="A130" s="1" t="s">
        <v>243</v>
      </c>
      <c r="B130" s="2">
        <v>45296</v>
      </c>
      <c r="C130" s="1" t="s">
        <v>174</v>
      </c>
      <c r="D130" s="1">
        <v>44</v>
      </c>
      <c r="E130" s="1" t="s">
        <v>20</v>
      </c>
      <c r="F130" s="1" t="s">
        <v>46</v>
      </c>
      <c r="G130" s="1" t="s">
        <v>47</v>
      </c>
      <c r="H130" s="1" t="s">
        <v>55</v>
      </c>
      <c r="I130" s="1">
        <v>1166.4100000000001</v>
      </c>
      <c r="J130" s="1">
        <v>1</v>
      </c>
      <c r="K130" s="1">
        <v>0</v>
      </c>
      <c r="L130" s="1" t="s">
        <v>24</v>
      </c>
      <c r="N130" s="1">
        <v>5</v>
      </c>
      <c r="O130" s="1">
        <v>1166.4100000000001</v>
      </c>
      <c r="P130" cm="1">
        <f t="array" ref="P130">_xlfn.IFS(O130&gt;=3000,20%,O130&gt;=1000,15%,O130&gt;=500,10%,O130&gt;=200,5%,O130&lt;200,0%)</f>
        <v>0.15</v>
      </c>
      <c r="Q130">
        <f t="shared" si="2"/>
        <v>174.9615</v>
      </c>
      <c r="R130" t="str">
        <f t="shared" si="3"/>
        <v>Missing Data</v>
      </c>
    </row>
    <row r="131" spans="1:18" x14ac:dyDescent="0.35">
      <c r="A131" s="1" t="s">
        <v>244</v>
      </c>
      <c r="B131" s="2">
        <v>45509</v>
      </c>
      <c r="C131" s="1" t="s">
        <v>111</v>
      </c>
      <c r="D131" s="1">
        <v>27</v>
      </c>
      <c r="E131" s="1" t="s">
        <v>32</v>
      </c>
      <c r="F131" s="1" t="s">
        <v>46</v>
      </c>
      <c r="G131" s="1" t="s">
        <v>41</v>
      </c>
      <c r="H131" s="1" t="s">
        <v>23</v>
      </c>
      <c r="I131" s="1">
        <v>410.99</v>
      </c>
      <c r="J131" s="1">
        <v>4</v>
      </c>
      <c r="K131" s="1">
        <v>0</v>
      </c>
      <c r="L131" s="1" t="s">
        <v>52</v>
      </c>
      <c r="M131" s="1">
        <v>2</v>
      </c>
      <c r="N131" s="1">
        <v>4</v>
      </c>
      <c r="O131" s="1">
        <v>1643.96</v>
      </c>
      <c r="P131" cm="1">
        <f t="array" ref="P131">_xlfn.IFS(O131&gt;=3000,20%,O131&gt;=1000,15%,O131&gt;=500,10%,O131&gt;=200,5%,O131&lt;200,0%)</f>
        <v>0.15</v>
      </c>
      <c r="Q131">
        <f t="shared" ref="Q131:Q194" si="4">(P131*O131)</f>
        <v>246.59399999999999</v>
      </c>
      <c r="R131" t="str">
        <f t="shared" ref="R131:R194" si="5">IF(ISBLANK(K131),"Missing Data",IF(ISBLANK(M131),"Missing Data",IF(AND(K131&lt;=10,M131&gt;=4),"Low Risk",IF(OR(K131&gt;20,M131&lt;2),"High Risk","Medium Risk"))))</f>
        <v>Medium Risk</v>
      </c>
    </row>
    <row r="132" spans="1:18" x14ac:dyDescent="0.35">
      <c r="A132" s="1" t="s">
        <v>245</v>
      </c>
      <c r="B132" s="2">
        <v>45546</v>
      </c>
      <c r="C132" s="1" t="s">
        <v>246</v>
      </c>
      <c r="D132" s="1">
        <v>43</v>
      </c>
      <c r="E132" s="1" t="s">
        <v>20</v>
      </c>
      <c r="F132" s="1" t="s">
        <v>33</v>
      </c>
      <c r="G132" s="1" t="s">
        <v>22</v>
      </c>
      <c r="H132" s="1" t="s">
        <v>35</v>
      </c>
      <c r="I132" s="1">
        <v>588.80999999999995</v>
      </c>
      <c r="J132" s="1">
        <v>4</v>
      </c>
      <c r="K132" s="1">
        <v>20</v>
      </c>
      <c r="L132" s="1" t="s">
        <v>52</v>
      </c>
      <c r="M132" s="1">
        <v>1</v>
      </c>
      <c r="N132" s="1">
        <v>7</v>
      </c>
      <c r="O132" s="1">
        <v>1884.192</v>
      </c>
      <c r="P132" cm="1">
        <f t="array" ref="P132">_xlfn.IFS(O132&gt;=3000,20%,O132&gt;=1000,15%,O132&gt;=500,10%,O132&gt;=200,5%,O132&lt;200,0%)</f>
        <v>0.15</v>
      </c>
      <c r="Q132">
        <f t="shared" si="4"/>
        <v>282.62880000000001</v>
      </c>
      <c r="R132" t="str">
        <f t="shared" si="5"/>
        <v>High Risk</v>
      </c>
    </row>
    <row r="133" spans="1:18" x14ac:dyDescent="0.35">
      <c r="A133" s="1" t="s">
        <v>247</v>
      </c>
      <c r="B133" s="2">
        <v>45650</v>
      </c>
      <c r="C133" s="1" t="s">
        <v>76</v>
      </c>
      <c r="D133" s="1">
        <v>36</v>
      </c>
      <c r="E133" s="1" t="s">
        <v>32</v>
      </c>
      <c r="F133" s="1" t="s">
        <v>46</v>
      </c>
      <c r="G133" s="1" t="s">
        <v>22</v>
      </c>
      <c r="H133" s="1" t="s">
        <v>42</v>
      </c>
      <c r="I133" s="1">
        <v>251.4</v>
      </c>
      <c r="J133" s="1">
        <v>1</v>
      </c>
      <c r="K133" s="1">
        <v>0</v>
      </c>
      <c r="L133" s="1" t="s">
        <v>24</v>
      </c>
      <c r="N133" s="1">
        <v>5</v>
      </c>
      <c r="O133" s="1">
        <v>251.4</v>
      </c>
      <c r="P133" cm="1">
        <f t="array" ref="P133">_xlfn.IFS(O133&gt;=3000,20%,O133&gt;=1000,15%,O133&gt;=500,10%,O133&gt;=200,5%,O133&lt;200,0%)</f>
        <v>0.05</v>
      </c>
      <c r="Q133">
        <f t="shared" si="4"/>
        <v>12.57</v>
      </c>
      <c r="R133" t="str">
        <f t="shared" si="5"/>
        <v>Missing Data</v>
      </c>
    </row>
    <row r="134" spans="1:18" x14ac:dyDescent="0.35">
      <c r="A134" s="1" t="s">
        <v>248</v>
      </c>
      <c r="B134" s="2">
        <v>45574</v>
      </c>
      <c r="C134" s="1" t="s">
        <v>152</v>
      </c>
      <c r="D134" s="1">
        <v>56</v>
      </c>
      <c r="E134" s="1" t="s">
        <v>20</v>
      </c>
      <c r="F134" s="1" t="s">
        <v>21</v>
      </c>
      <c r="G134" s="1" t="s">
        <v>47</v>
      </c>
      <c r="H134" s="1" t="s">
        <v>55</v>
      </c>
      <c r="I134" s="1">
        <v>740.72</v>
      </c>
      <c r="J134" s="1">
        <v>2</v>
      </c>
      <c r="K134" s="1">
        <v>15</v>
      </c>
      <c r="L134" s="1" t="s">
        <v>43</v>
      </c>
      <c r="M134" s="1">
        <v>5</v>
      </c>
      <c r="N134" s="1">
        <v>6</v>
      </c>
      <c r="O134" s="1">
        <v>1259.2239999999999</v>
      </c>
      <c r="P134" cm="1">
        <f t="array" ref="P134">_xlfn.IFS(O134&gt;=3000,20%,O134&gt;=1000,15%,O134&gt;=500,10%,O134&gt;=200,5%,O134&lt;200,0%)</f>
        <v>0.15</v>
      </c>
      <c r="Q134">
        <f t="shared" si="4"/>
        <v>188.88359999999997</v>
      </c>
      <c r="R134" t="str">
        <f t="shared" si="5"/>
        <v>Medium Risk</v>
      </c>
    </row>
    <row r="135" spans="1:18" x14ac:dyDescent="0.35">
      <c r="A135" s="1" t="s">
        <v>249</v>
      </c>
      <c r="B135" s="2">
        <v>45498</v>
      </c>
      <c r="C135" s="1" t="s">
        <v>156</v>
      </c>
      <c r="D135" s="1">
        <v>20</v>
      </c>
      <c r="E135" s="1" t="s">
        <v>32</v>
      </c>
      <c r="F135" s="1" t="s">
        <v>33</v>
      </c>
      <c r="G135" s="1" t="s">
        <v>22</v>
      </c>
      <c r="H135" s="1" t="s">
        <v>96</v>
      </c>
      <c r="I135" s="1">
        <v>351.21</v>
      </c>
      <c r="J135" s="1">
        <v>3</v>
      </c>
      <c r="K135" s="1">
        <v>20</v>
      </c>
      <c r="L135" s="1" t="s">
        <v>43</v>
      </c>
      <c r="M135" s="1">
        <v>2</v>
      </c>
      <c r="N135" s="1">
        <v>4</v>
      </c>
      <c r="O135" s="1">
        <v>842.904</v>
      </c>
      <c r="P135" cm="1">
        <f t="array" ref="P135">_xlfn.IFS(O135&gt;=3000,20%,O135&gt;=1000,15%,O135&gt;=500,10%,O135&gt;=200,5%,O135&lt;200,0%)</f>
        <v>0.1</v>
      </c>
      <c r="Q135">
        <f t="shared" si="4"/>
        <v>84.290400000000005</v>
      </c>
      <c r="R135" t="str">
        <f t="shared" si="5"/>
        <v>Medium Risk</v>
      </c>
    </row>
    <row r="136" spans="1:18" x14ac:dyDescent="0.35">
      <c r="A136" s="1" t="s">
        <v>250</v>
      </c>
      <c r="B136" s="2">
        <v>45306</v>
      </c>
      <c r="C136" s="1" t="s">
        <v>178</v>
      </c>
      <c r="D136" s="1">
        <v>30</v>
      </c>
      <c r="E136" s="1" t="s">
        <v>20</v>
      </c>
      <c r="F136" s="1" t="s">
        <v>21</v>
      </c>
      <c r="G136" s="1" t="s">
        <v>34</v>
      </c>
      <c r="H136" s="1" t="s">
        <v>23</v>
      </c>
      <c r="I136" s="1">
        <v>264.25</v>
      </c>
      <c r="J136" s="1">
        <v>4</v>
      </c>
      <c r="K136" s="1">
        <v>10</v>
      </c>
      <c r="L136" s="1" t="s">
        <v>24</v>
      </c>
      <c r="M136" s="1">
        <v>5</v>
      </c>
      <c r="N136" s="1">
        <v>2</v>
      </c>
      <c r="O136" s="1">
        <v>951.3</v>
      </c>
      <c r="P136" cm="1">
        <f t="array" ref="P136">_xlfn.IFS(O136&gt;=3000,20%,O136&gt;=1000,15%,O136&gt;=500,10%,O136&gt;=200,5%,O136&lt;200,0%)</f>
        <v>0.1</v>
      </c>
      <c r="Q136">
        <f t="shared" si="4"/>
        <v>95.13</v>
      </c>
      <c r="R136" t="str">
        <f t="shared" si="5"/>
        <v>Low Risk</v>
      </c>
    </row>
    <row r="137" spans="1:18" x14ac:dyDescent="0.35">
      <c r="A137" s="1" t="s">
        <v>251</v>
      </c>
      <c r="B137" s="2">
        <v>45637</v>
      </c>
      <c r="C137" s="1" t="s">
        <v>37</v>
      </c>
      <c r="D137" s="1">
        <v>45</v>
      </c>
      <c r="E137" s="1" t="s">
        <v>32</v>
      </c>
      <c r="F137" s="1" t="s">
        <v>27</v>
      </c>
      <c r="G137" s="1" t="s">
        <v>38</v>
      </c>
      <c r="H137" s="1" t="s">
        <v>96</v>
      </c>
      <c r="I137" s="1">
        <v>629.55999999999995</v>
      </c>
      <c r="J137" s="1">
        <v>4</v>
      </c>
      <c r="K137" s="1">
        <v>0</v>
      </c>
      <c r="L137" s="1" t="s">
        <v>29</v>
      </c>
      <c r="N137" s="1">
        <v>9</v>
      </c>
      <c r="O137" s="1">
        <v>2518.2399999999998</v>
      </c>
      <c r="P137" cm="1">
        <f t="array" ref="P137">_xlfn.IFS(O137&gt;=3000,20%,O137&gt;=1000,15%,O137&gt;=500,10%,O137&gt;=200,5%,O137&lt;200,0%)</f>
        <v>0.15</v>
      </c>
      <c r="Q137">
        <f t="shared" si="4"/>
        <v>377.73599999999993</v>
      </c>
      <c r="R137" t="str">
        <f t="shared" si="5"/>
        <v>Missing Data</v>
      </c>
    </row>
    <row r="138" spans="1:18" x14ac:dyDescent="0.35">
      <c r="A138" s="1" t="s">
        <v>252</v>
      </c>
      <c r="B138" s="2">
        <v>45333</v>
      </c>
      <c r="C138" s="1" t="s">
        <v>83</v>
      </c>
      <c r="D138" s="1">
        <v>37</v>
      </c>
      <c r="E138" s="1" t="s">
        <v>32</v>
      </c>
      <c r="F138" s="1" t="s">
        <v>21</v>
      </c>
      <c r="G138" s="1" t="s">
        <v>47</v>
      </c>
      <c r="H138" s="1" t="s">
        <v>79</v>
      </c>
      <c r="I138" s="1">
        <v>26.5</v>
      </c>
      <c r="J138" s="1">
        <v>3</v>
      </c>
      <c r="K138" s="1">
        <v>5</v>
      </c>
      <c r="L138" s="1" t="s">
        <v>52</v>
      </c>
      <c r="N138" s="1">
        <v>7</v>
      </c>
      <c r="O138" s="1">
        <v>75.525000000000006</v>
      </c>
      <c r="P138" cm="1">
        <f t="array" ref="P138">_xlfn.IFS(O138&gt;=3000,20%,O138&gt;=1000,15%,O138&gt;=500,10%,O138&gt;=200,5%,O138&lt;200,0%)</f>
        <v>0</v>
      </c>
      <c r="Q138">
        <f t="shared" si="4"/>
        <v>0</v>
      </c>
      <c r="R138" t="str">
        <f t="shared" si="5"/>
        <v>Missing Data</v>
      </c>
    </row>
    <row r="139" spans="1:18" x14ac:dyDescent="0.35">
      <c r="A139" s="1" t="s">
        <v>253</v>
      </c>
      <c r="B139" s="2">
        <v>45470</v>
      </c>
      <c r="C139" s="1" t="s">
        <v>169</v>
      </c>
      <c r="D139" s="1">
        <v>45</v>
      </c>
      <c r="E139" s="1" t="s">
        <v>20</v>
      </c>
      <c r="F139" s="1" t="s">
        <v>27</v>
      </c>
      <c r="G139" s="1" t="s">
        <v>41</v>
      </c>
      <c r="H139" s="1" t="s">
        <v>79</v>
      </c>
      <c r="I139" s="1">
        <v>29.04</v>
      </c>
      <c r="J139" s="1">
        <v>1</v>
      </c>
      <c r="K139" s="1">
        <v>0</v>
      </c>
      <c r="L139" s="1" t="s">
        <v>29</v>
      </c>
      <c r="M139" s="1">
        <v>2</v>
      </c>
      <c r="N139" s="1">
        <v>4</v>
      </c>
      <c r="O139" s="1">
        <v>29.04</v>
      </c>
      <c r="P139" cm="1">
        <f t="array" ref="P139">_xlfn.IFS(O139&gt;=3000,20%,O139&gt;=1000,15%,O139&gt;=500,10%,O139&gt;=200,5%,O139&lt;200,0%)</f>
        <v>0</v>
      </c>
      <c r="Q139">
        <f t="shared" si="4"/>
        <v>0</v>
      </c>
      <c r="R139" t="str">
        <f t="shared" si="5"/>
        <v>Medium Risk</v>
      </c>
    </row>
    <row r="140" spans="1:18" x14ac:dyDescent="0.35">
      <c r="A140" s="1" t="s">
        <v>254</v>
      </c>
      <c r="B140" s="2">
        <v>45354</v>
      </c>
      <c r="C140" s="1" t="s">
        <v>167</v>
      </c>
      <c r="D140" s="1">
        <v>25</v>
      </c>
      <c r="E140" s="1" t="s">
        <v>20</v>
      </c>
      <c r="F140" s="1" t="s">
        <v>27</v>
      </c>
      <c r="G140" s="1" t="s">
        <v>34</v>
      </c>
      <c r="H140" s="1" t="s">
        <v>48</v>
      </c>
      <c r="I140" s="1">
        <v>278.5</v>
      </c>
      <c r="J140" s="1">
        <v>1</v>
      </c>
      <c r="K140" s="1">
        <v>10</v>
      </c>
      <c r="L140" s="1" t="s">
        <v>43</v>
      </c>
      <c r="M140" s="1">
        <v>5</v>
      </c>
      <c r="N140" s="1">
        <v>3</v>
      </c>
      <c r="O140" s="1">
        <v>250.65</v>
      </c>
      <c r="P140" cm="1">
        <f t="array" ref="P140">_xlfn.IFS(O140&gt;=3000,20%,O140&gt;=1000,15%,O140&gt;=500,10%,O140&gt;=200,5%,O140&lt;200,0%)</f>
        <v>0.05</v>
      </c>
      <c r="Q140">
        <f t="shared" si="4"/>
        <v>12.532500000000001</v>
      </c>
      <c r="R140" t="str">
        <f t="shared" si="5"/>
        <v>Low Risk</v>
      </c>
    </row>
    <row r="141" spans="1:18" x14ac:dyDescent="0.35">
      <c r="A141" s="1" t="s">
        <v>255</v>
      </c>
      <c r="B141" s="2">
        <v>45643</v>
      </c>
      <c r="C141" s="1" t="s">
        <v>76</v>
      </c>
      <c r="D141" s="1">
        <v>58</v>
      </c>
      <c r="E141" s="1" t="s">
        <v>32</v>
      </c>
      <c r="F141" s="1" t="s">
        <v>21</v>
      </c>
      <c r="G141" s="1" t="s">
        <v>47</v>
      </c>
      <c r="H141" s="1" t="s">
        <v>35</v>
      </c>
      <c r="I141" s="1">
        <v>63.33</v>
      </c>
      <c r="J141" s="1">
        <v>1</v>
      </c>
      <c r="K141" s="1">
        <v>20</v>
      </c>
      <c r="L141" s="1" t="s">
        <v>43</v>
      </c>
      <c r="M141" s="1">
        <v>3</v>
      </c>
      <c r="N141" s="1">
        <v>3</v>
      </c>
      <c r="O141" s="1">
        <v>50.664000000000001</v>
      </c>
      <c r="P141" cm="1">
        <f t="array" ref="P141">_xlfn.IFS(O141&gt;=3000,20%,O141&gt;=1000,15%,O141&gt;=500,10%,O141&gt;=200,5%,O141&lt;200,0%)</f>
        <v>0</v>
      </c>
      <c r="Q141">
        <f t="shared" si="4"/>
        <v>0</v>
      </c>
      <c r="R141" t="str">
        <f t="shared" si="5"/>
        <v>Medium Risk</v>
      </c>
    </row>
    <row r="142" spans="1:18" x14ac:dyDescent="0.35">
      <c r="A142" s="1" t="s">
        <v>256</v>
      </c>
      <c r="B142" s="2">
        <v>45522</v>
      </c>
      <c r="C142" s="1" t="s">
        <v>57</v>
      </c>
      <c r="D142" s="1">
        <v>56</v>
      </c>
      <c r="E142" s="1" t="s">
        <v>20</v>
      </c>
      <c r="F142" s="1" t="s">
        <v>33</v>
      </c>
      <c r="G142" s="1" t="s">
        <v>22</v>
      </c>
      <c r="H142" s="1" t="s">
        <v>55</v>
      </c>
      <c r="I142" s="1">
        <v>147.47</v>
      </c>
      <c r="J142" s="1">
        <v>2</v>
      </c>
      <c r="K142" s="1">
        <v>10</v>
      </c>
      <c r="L142" s="1" t="s">
        <v>29</v>
      </c>
      <c r="M142" s="1">
        <v>5</v>
      </c>
      <c r="N142" s="1">
        <v>9</v>
      </c>
      <c r="O142" s="1">
        <v>265.44600000000003</v>
      </c>
      <c r="P142" cm="1">
        <f t="array" ref="P142">_xlfn.IFS(O142&gt;=3000,20%,O142&gt;=1000,15%,O142&gt;=500,10%,O142&gt;=200,5%,O142&lt;200,0%)</f>
        <v>0.05</v>
      </c>
      <c r="Q142">
        <f t="shared" si="4"/>
        <v>13.272300000000001</v>
      </c>
      <c r="R142" t="str">
        <f t="shared" si="5"/>
        <v>Low Risk</v>
      </c>
    </row>
    <row r="143" spans="1:18" x14ac:dyDescent="0.35">
      <c r="A143" s="1" t="s">
        <v>257</v>
      </c>
      <c r="B143" s="2">
        <v>45532</v>
      </c>
      <c r="C143" s="1" t="s">
        <v>164</v>
      </c>
      <c r="D143" s="1">
        <v>18</v>
      </c>
      <c r="E143" s="1" t="s">
        <v>32</v>
      </c>
      <c r="F143" s="1" t="s">
        <v>46</v>
      </c>
      <c r="G143" s="1" t="s">
        <v>22</v>
      </c>
      <c r="H143" s="1" t="s">
        <v>28</v>
      </c>
      <c r="I143" s="1">
        <v>419.86</v>
      </c>
      <c r="J143" s="1">
        <v>2</v>
      </c>
      <c r="K143" s="1">
        <v>5</v>
      </c>
      <c r="L143" s="1" t="s">
        <v>24</v>
      </c>
      <c r="N143" s="1">
        <v>5</v>
      </c>
      <c r="O143" s="1">
        <v>797.73400000000004</v>
      </c>
      <c r="P143" cm="1">
        <f t="array" ref="P143">_xlfn.IFS(O143&gt;=3000,20%,O143&gt;=1000,15%,O143&gt;=500,10%,O143&gt;=200,5%,O143&lt;200,0%)</f>
        <v>0.1</v>
      </c>
      <c r="Q143">
        <f t="shared" si="4"/>
        <v>79.773400000000009</v>
      </c>
      <c r="R143" t="str">
        <f t="shared" si="5"/>
        <v>Missing Data</v>
      </c>
    </row>
    <row r="144" spans="1:18" x14ac:dyDescent="0.35">
      <c r="A144" s="1" t="s">
        <v>258</v>
      </c>
      <c r="B144" s="2">
        <v>45343</v>
      </c>
      <c r="C144" s="1" t="s">
        <v>182</v>
      </c>
      <c r="D144" s="1">
        <v>20</v>
      </c>
      <c r="E144" s="1" t="s">
        <v>32</v>
      </c>
      <c r="F144" s="1" t="s">
        <v>46</v>
      </c>
      <c r="G144" s="1" t="s">
        <v>22</v>
      </c>
      <c r="H144" s="1" t="s">
        <v>28</v>
      </c>
      <c r="I144" s="1">
        <v>967.05</v>
      </c>
      <c r="J144" s="1">
        <v>4</v>
      </c>
      <c r="K144" s="1">
        <v>15</v>
      </c>
      <c r="L144" s="1" t="s">
        <v>29</v>
      </c>
      <c r="M144" s="1">
        <v>5</v>
      </c>
      <c r="N144" s="1">
        <v>3</v>
      </c>
      <c r="O144" s="1">
        <v>3287.97</v>
      </c>
      <c r="P144" cm="1">
        <f t="array" ref="P144">_xlfn.IFS(O144&gt;=3000,20%,O144&gt;=1000,15%,O144&gt;=500,10%,O144&gt;=200,5%,O144&lt;200,0%)</f>
        <v>0.2</v>
      </c>
      <c r="Q144">
        <f t="shared" si="4"/>
        <v>657.59400000000005</v>
      </c>
      <c r="R144" t="str">
        <f t="shared" si="5"/>
        <v>Medium Risk</v>
      </c>
    </row>
    <row r="145" spans="1:18" x14ac:dyDescent="0.35">
      <c r="A145" s="1" t="s">
        <v>259</v>
      </c>
      <c r="B145" s="2">
        <v>45387</v>
      </c>
      <c r="C145" s="1" t="s">
        <v>134</v>
      </c>
      <c r="D145" s="1">
        <v>30</v>
      </c>
      <c r="E145" s="1" t="s">
        <v>32</v>
      </c>
      <c r="F145" s="1" t="s">
        <v>27</v>
      </c>
      <c r="G145" s="1" t="s">
        <v>22</v>
      </c>
      <c r="H145" s="1" t="s">
        <v>55</v>
      </c>
      <c r="I145" s="1">
        <v>695.02</v>
      </c>
      <c r="J145" s="1">
        <v>1</v>
      </c>
      <c r="K145" s="1">
        <v>0</v>
      </c>
      <c r="L145" s="1" t="s">
        <v>29</v>
      </c>
      <c r="M145" s="1">
        <v>1</v>
      </c>
      <c r="N145" s="1">
        <v>5</v>
      </c>
      <c r="O145" s="1">
        <v>695.02</v>
      </c>
      <c r="P145" cm="1">
        <f t="array" ref="P145">_xlfn.IFS(O145&gt;=3000,20%,O145&gt;=1000,15%,O145&gt;=500,10%,O145&gt;=200,5%,O145&lt;200,0%)</f>
        <v>0.1</v>
      </c>
      <c r="Q145">
        <f t="shared" si="4"/>
        <v>69.501999999999995</v>
      </c>
      <c r="R145" t="str">
        <f t="shared" si="5"/>
        <v>High Risk</v>
      </c>
    </row>
    <row r="146" spans="1:18" x14ac:dyDescent="0.35">
      <c r="A146" s="1" t="s">
        <v>260</v>
      </c>
      <c r="B146" s="2">
        <v>45513</v>
      </c>
      <c r="C146" s="1" t="s">
        <v>216</v>
      </c>
      <c r="D146" s="1">
        <v>45</v>
      </c>
      <c r="E146" s="1" t="s">
        <v>20</v>
      </c>
      <c r="F146" s="1" t="s">
        <v>27</v>
      </c>
      <c r="G146" s="1" t="s">
        <v>41</v>
      </c>
      <c r="H146" s="1" t="s">
        <v>42</v>
      </c>
      <c r="I146" s="1">
        <v>624.95000000000005</v>
      </c>
      <c r="J146" s="1">
        <v>3</v>
      </c>
      <c r="K146" s="1">
        <v>20</v>
      </c>
      <c r="L146" s="1" t="s">
        <v>52</v>
      </c>
      <c r="M146" s="1">
        <v>3</v>
      </c>
      <c r="N146" s="1">
        <v>2</v>
      </c>
      <c r="O146" s="1">
        <v>1499.88</v>
      </c>
      <c r="P146" cm="1">
        <f t="array" ref="P146">_xlfn.IFS(O146&gt;=3000,20%,O146&gt;=1000,15%,O146&gt;=500,10%,O146&gt;=200,5%,O146&lt;200,0%)</f>
        <v>0.15</v>
      </c>
      <c r="Q146">
        <f t="shared" si="4"/>
        <v>224.982</v>
      </c>
      <c r="R146" t="str">
        <f t="shared" si="5"/>
        <v>Medium Risk</v>
      </c>
    </row>
    <row r="147" spans="1:18" x14ac:dyDescent="0.35">
      <c r="A147" s="1" t="s">
        <v>261</v>
      </c>
      <c r="B147" s="2">
        <v>45522</v>
      </c>
      <c r="C147" s="1" t="s">
        <v>262</v>
      </c>
      <c r="D147" s="1">
        <v>42</v>
      </c>
      <c r="E147" s="1" t="s">
        <v>32</v>
      </c>
      <c r="F147" s="1" t="s">
        <v>33</v>
      </c>
      <c r="G147" s="1" t="s">
        <v>34</v>
      </c>
      <c r="H147" s="1" t="s">
        <v>35</v>
      </c>
      <c r="I147" s="1">
        <v>366.32</v>
      </c>
      <c r="J147" s="1">
        <v>4</v>
      </c>
      <c r="K147" s="1">
        <v>15</v>
      </c>
      <c r="L147" s="1" t="s">
        <v>52</v>
      </c>
      <c r="M147" s="1">
        <v>4</v>
      </c>
      <c r="N147" s="1">
        <v>4</v>
      </c>
      <c r="O147" s="1">
        <v>1245.4880000000001</v>
      </c>
      <c r="P147" cm="1">
        <f t="array" ref="P147">_xlfn.IFS(O147&gt;=3000,20%,O147&gt;=1000,15%,O147&gt;=500,10%,O147&gt;=200,5%,O147&lt;200,0%)</f>
        <v>0.15</v>
      </c>
      <c r="Q147">
        <f t="shared" si="4"/>
        <v>186.82320000000001</v>
      </c>
      <c r="R147" t="str">
        <f t="shared" si="5"/>
        <v>Medium Risk</v>
      </c>
    </row>
    <row r="148" spans="1:18" x14ac:dyDescent="0.35">
      <c r="A148" s="1" t="s">
        <v>263</v>
      </c>
      <c r="B148" s="2">
        <v>45528</v>
      </c>
      <c r="C148" s="1" t="s">
        <v>264</v>
      </c>
      <c r="D148" s="1">
        <v>50</v>
      </c>
      <c r="E148" s="1" t="s">
        <v>32</v>
      </c>
      <c r="F148" s="1" t="s">
        <v>51</v>
      </c>
      <c r="G148" s="1" t="s">
        <v>38</v>
      </c>
      <c r="H148" s="1" t="s">
        <v>96</v>
      </c>
      <c r="I148" s="1">
        <v>1119.47</v>
      </c>
      <c r="J148" s="1">
        <v>3</v>
      </c>
      <c r="K148" s="1">
        <v>10</v>
      </c>
      <c r="L148" s="1" t="s">
        <v>29</v>
      </c>
      <c r="M148" s="1">
        <v>1</v>
      </c>
      <c r="N148" s="1">
        <v>2</v>
      </c>
      <c r="O148" s="1">
        <v>3022.569</v>
      </c>
      <c r="P148" cm="1">
        <f t="array" ref="P148">_xlfn.IFS(O148&gt;=3000,20%,O148&gt;=1000,15%,O148&gt;=500,10%,O148&gt;=200,5%,O148&lt;200,0%)</f>
        <v>0.2</v>
      </c>
      <c r="Q148">
        <f t="shared" si="4"/>
        <v>604.51380000000006</v>
      </c>
      <c r="R148" t="str">
        <f t="shared" si="5"/>
        <v>High Risk</v>
      </c>
    </row>
    <row r="149" spans="1:18" x14ac:dyDescent="0.35">
      <c r="A149" s="1" t="s">
        <v>265</v>
      </c>
      <c r="B149" s="2">
        <v>45434</v>
      </c>
      <c r="C149" s="1" t="s">
        <v>266</v>
      </c>
      <c r="D149" s="1">
        <v>55</v>
      </c>
      <c r="E149" s="1" t="s">
        <v>20</v>
      </c>
      <c r="F149" s="1" t="s">
        <v>21</v>
      </c>
      <c r="G149" s="1" t="s">
        <v>41</v>
      </c>
      <c r="H149" s="1" t="s">
        <v>42</v>
      </c>
      <c r="I149" s="1">
        <v>488.48</v>
      </c>
      <c r="J149" s="1">
        <v>4</v>
      </c>
      <c r="K149" s="1">
        <v>20</v>
      </c>
      <c r="L149" s="1" t="s">
        <v>29</v>
      </c>
      <c r="M149" s="1">
        <v>4</v>
      </c>
      <c r="N149" s="1">
        <v>2</v>
      </c>
      <c r="O149" s="1">
        <v>1563.136</v>
      </c>
      <c r="P149" cm="1">
        <f t="array" ref="P149">_xlfn.IFS(O149&gt;=3000,20%,O149&gt;=1000,15%,O149&gt;=500,10%,O149&gt;=200,5%,O149&lt;200,0%)</f>
        <v>0.15</v>
      </c>
      <c r="Q149">
        <f t="shared" si="4"/>
        <v>234.47039999999998</v>
      </c>
      <c r="R149" t="str">
        <f t="shared" si="5"/>
        <v>Medium Risk</v>
      </c>
    </row>
    <row r="150" spans="1:18" x14ac:dyDescent="0.35">
      <c r="A150" s="1" t="s">
        <v>267</v>
      </c>
      <c r="B150" s="2">
        <v>45462</v>
      </c>
      <c r="C150" s="1" t="s">
        <v>118</v>
      </c>
      <c r="D150" s="1">
        <v>23</v>
      </c>
      <c r="E150" s="1" t="s">
        <v>20</v>
      </c>
      <c r="F150" s="1" t="s">
        <v>27</v>
      </c>
      <c r="G150" s="1" t="s">
        <v>41</v>
      </c>
      <c r="H150" s="1" t="s">
        <v>125</v>
      </c>
      <c r="I150" s="1">
        <v>122.77</v>
      </c>
      <c r="J150" s="1">
        <v>2</v>
      </c>
      <c r="K150" s="1">
        <v>15</v>
      </c>
      <c r="L150" s="1" t="s">
        <v>43</v>
      </c>
      <c r="M150" s="1">
        <v>2</v>
      </c>
      <c r="N150" s="1">
        <v>8</v>
      </c>
      <c r="O150" s="1">
        <v>208.709</v>
      </c>
      <c r="P150" cm="1">
        <f t="array" ref="P150">_xlfn.IFS(O150&gt;=3000,20%,O150&gt;=1000,15%,O150&gt;=500,10%,O150&gt;=200,5%,O150&lt;200,0%)</f>
        <v>0.05</v>
      </c>
      <c r="Q150">
        <f t="shared" si="4"/>
        <v>10.435450000000001</v>
      </c>
      <c r="R150" t="str">
        <f t="shared" si="5"/>
        <v>Medium Risk</v>
      </c>
    </row>
    <row r="151" spans="1:18" x14ac:dyDescent="0.35">
      <c r="A151" s="1" t="s">
        <v>268</v>
      </c>
      <c r="B151" s="2">
        <v>45320</v>
      </c>
      <c r="C151" s="1" t="s">
        <v>118</v>
      </c>
      <c r="D151" s="1">
        <v>49</v>
      </c>
      <c r="E151" s="1" t="s">
        <v>20</v>
      </c>
      <c r="F151" s="1" t="s">
        <v>46</v>
      </c>
      <c r="G151" s="1" t="s">
        <v>38</v>
      </c>
      <c r="H151" s="1" t="s">
        <v>55</v>
      </c>
      <c r="I151" s="1">
        <v>748.14</v>
      </c>
      <c r="J151" s="1">
        <v>4</v>
      </c>
      <c r="K151" s="1">
        <v>20</v>
      </c>
      <c r="L151" s="1" t="s">
        <v>52</v>
      </c>
      <c r="M151" s="1">
        <v>4</v>
      </c>
      <c r="N151" s="1">
        <v>1</v>
      </c>
      <c r="O151" s="1">
        <v>2394.0479999999998</v>
      </c>
      <c r="P151" cm="1">
        <f t="array" ref="P151">_xlfn.IFS(O151&gt;=3000,20%,O151&gt;=1000,15%,O151&gt;=500,10%,O151&gt;=200,5%,O151&lt;200,0%)</f>
        <v>0.15</v>
      </c>
      <c r="Q151">
        <f t="shared" si="4"/>
        <v>359.10719999999998</v>
      </c>
      <c r="R151" t="str">
        <f t="shared" si="5"/>
        <v>Medium Risk</v>
      </c>
    </row>
    <row r="152" spans="1:18" x14ac:dyDescent="0.35">
      <c r="A152" s="1" t="s">
        <v>269</v>
      </c>
      <c r="B152" s="2">
        <v>45327</v>
      </c>
      <c r="C152" s="1" t="s">
        <v>270</v>
      </c>
      <c r="D152" s="1">
        <v>38</v>
      </c>
      <c r="E152" s="1" t="s">
        <v>20</v>
      </c>
      <c r="F152" s="1" t="s">
        <v>33</v>
      </c>
      <c r="G152" s="1" t="s">
        <v>38</v>
      </c>
      <c r="H152" s="1" t="s">
        <v>96</v>
      </c>
      <c r="I152" s="1">
        <v>154.33000000000001</v>
      </c>
      <c r="J152" s="1">
        <v>2</v>
      </c>
      <c r="K152" s="1">
        <v>5</v>
      </c>
      <c r="L152" s="1" t="s">
        <v>52</v>
      </c>
      <c r="M152" s="1">
        <v>5</v>
      </c>
      <c r="N152" s="1">
        <v>7</v>
      </c>
      <c r="O152" s="1">
        <v>293.22699999999998</v>
      </c>
      <c r="P152" cm="1">
        <f t="array" ref="P152">_xlfn.IFS(O152&gt;=3000,20%,O152&gt;=1000,15%,O152&gt;=500,10%,O152&gt;=200,5%,O152&lt;200,0%)</f>
        <v>0.05</v>
      </c>
      <c r="Q152">
        <f t="shared" si="4"/>
        <v>14.661349999999999</v>
      </c>
      <c r="R152" t="str">
        <f t="shared" si="5"/>
        <v>Low Risk</v>
      </c>
    </row>
    <row r="153" spans="1:18" x14ac:dyDescent="0.35">
      <c r="A153" s="1" t="s">
        <v>271</v>
      </c>
      <c r="B153" s="2">
        <v>45304</v>
      </c>
      <c r="C153" s="1" t="s">
        <v>172</v>
      </c>
      <c r="D153" s="1">
        <v>33</v>
      </c>
      <c r="E153" s="1" t="s">
        <v>32</v>
      </c>
      <c r="F153" s="1" t="s">
        <v>21</v>
      </c>
      <c r="G153" s="1" t="s">
        <v>22</v>
      </c>
      <c r="H153" s="1" t="s">
        <v>28</v>
      </c>
      <c r="I153" s="1">
        <v>427.36</v>
      </c>
      <c r="J153" s="1">
        <v>4</v>
      </c>
      <c r="K153" s="1">
        <v>5</v>
      </c>
      <c r="L153" s="1" t="s">
        <v>43</v>
      </c>
      <c r="M153" s="1">
        <v>4</v>
      </c>
      <c r="N153" s="1">
        <v>5</v>
      </c>
      <c r="O153" s="1">
        <v>1623.9680000000001</v>
      </c>
      <c r="P153" cm="1">
        <f t="array" ref="P153">_xlfn.IFS(O153&gt;=3000,20%,O153&gt;=1000,15%,O153&gt;=500,10%,O153&gt;=200,5%,O153&lt;200,0%)</f>
        <v>0.15</v>
      </c>
      <c r="Q153">
        <f t="shared" si="4"/>
        <v>243.59520000000001</v>
      </c>
      <c r="R153" t="str">
        <f t="shared" si="5"/>
        <v>Low Risk</v>
      </c>
    </row>
    <row r="154" spans="1:18" x14ac:dyDescent="0.35">
      <c r="A154" s="1" t="s">
        <v>272</v>
      </c>
      <c r="B154" s="2">
        <v>45451</v>
      </c>
      <c r="C154" s="1" t="s">
        <v>72</v>
      </c>
      <c r="D154" s="1">
        <v>38</v>
      </c>
      <c r="E154" s="1" t="s">
        <v>32</v>
      </c>
      <c r="F154" s="1" t="s">
        <v>33</v>
      </c>
      <c r="G154" s="1" t="s">
        <v>41</v>
      </c>
      <c r="H154" s="1" t="s">
        <v>64</v>
      </c>
      <c r="I154" s="1">
        <v>618.75</v>
      </c>
      <c r="J154" s="1">
        <v>1</v>
      </c>
      <c r="K154" s="1">
        <v>0</v>
      </c>
      <c r="L154" s="1" t="s">
        <v>24</v>
      </c>
      <c r="N154" s="1">
        <v>8</v>
      </c>
      <c r="O154" s="1">
        <v>618.75</v>
      </c>
      <c r="P154" cm="1">
        <f t="array" ref="P154">_xlfn.IFS(O154&gt;=3000,20%,O154&gt;=1000,15%,O154&gt;=500,10%,O154&gt;=200,5%,O154&lt;200,0%)</f>
        <v>0.1</v>
      </c>
      <c r="Q154">
        <f t="shared" si="4"/>
        <v>61.875</v>
      </c>
      <c r="R154" t="str">
        <f t="shared" si="5"/>
        <v>Missing Data</v>
      </c>
    </row>
    <row r="155" spans="1:18" x14ac:dyDescent="0.35">
      <c r="A155" s="1" t="s">
        <v>273</v>
      </c>
      <c r="B155" s="2">
        <v>45618</v>
      </c>
      <c r="C155" s="1" t="s">
        <v>111</v>
      </c>
      <c r="D155" s="1">
        <v>28</v>
      </c>
      <c r="E155" s="1" t="s">
        <v>32</v>
      </c>
      <c r="F155" s="1" t="s">
        <v>21</v>
      </c>
      <c r="G155" s="1" t="s">
        <v>47</v>
      </c>
      <c r="H155" s="1" t="s">
        <v>48</v>
      </c>
      <c r="I155" s="1">
        <v>1051.58</v>
      </c>
      <c r="J155" s="1">
        <v>3</v>
      </c>
      <c r="K155" s="1">
        <v>0</v>
      </c>
      <c r="L155" s="1" t="s">
        <v>52</v>
      </c>
      <c r="M155" s="1">
        <v>1</v>
      </c>
      <c r="N155" s="1">
        <v>1</v>
      </c>
      <c r="O155" s="1">
        <v>3154.74</v>
      </c>
      <c r="P155" cm="1">
        <f t="array" ref="P155">_xlfn.IFS(O155&gt;=3000,20%,O155&gt;=1000,15%,O155&gt;=500,10%,O155&gt;=200,5%,O155&lt;200,0%)</f>
        <v>0.2</v>
      </c>
      <c r="Q155">
        <f t="shared" si="4"/>
        <v>630.94799999999998</v>
      </c>
      <c r="R155" t="str">
        <f t="shared" si="5"/>
        <v>High Risk</v>
      </c>
    </row>
    <row r="156" spans="1:18" x14ac:dyDescent="0.35">
      <c r="A156" s="1" t="s">
        <v>274</v>
      </c>
      <c r="B156" s="2">
        <v>45478</v>
      </c>
      <c r="C156" s="1" t="s">
        <v>37</v>
      </c>
      <c r="D156" s="1">
        <v>54</v>
      </c>
      <c r="E156" s="1" t="s">
        <v>32</v>
      </c>
      <c r="F156" s="1" t="s">
        <v>21</v>
      </c>
      <c r="G156" s="1" t="s">
        <v>38</v>
      </c>
      <c r="H156" s="1" t="s">
        <v>28</v>
      </c>
      <c r="I156" s="1">
        <v>602.38</v>
      </c>
      <c r="J156" s="1">
        <v>1</v>
      </c>
      <c r="K156" s="1">
        <v>5</v>
      </c>
      <c r="L156" s="1" t="s">
        <v>52</v>
      </c>
      <c r="M156" s="1">
        <v>1</v>
      </c>
      <c r="N156" s="1">
        <v>7</v>
      </c>
      <c r="O156" s="1">
        <v>572.26099999999997</v>
      </c>
      <c r="P156" cm="1">
        <f t="array" ref="P156">_xlfn.IFS(O156&gt;=3000,20%,O156&gt;=1000,15%,O156&gt;=500,10%,O156&gt;=200,5%,O156&lt;200,0%)</f>
        <v>0.1</v>
      </c>
      <c r="Q156">
        <f t="shared" si="4"/>
        <v>57.226100000000002</v>
      </c>
      <c r="R156" t="str">
        <f t="shared" si="5"/>
        <v>High Risk</v>
      </c>
    </row>
    <row r="157" spans="1:18" x14ac:dyDescent="0.35">
      <c r="A157" s="1" t="s">
        <v>275</v>
      </c>
      <c r="B157" s="2">
        <v>45534</v>
      </c>
      <c r="C157" s="1" t="s">
        <v>143</v>
      </c>
      <c r="E157" s="1" t="s">
        <v>20</v>
      </c>
      <c r="G157" s="1" t="s">
        <v>38</v>
      </c>
      <c r="H157" s="1" t="s">
        <v>35</v>
      </c>
      <c r="I157" s="1">
        <v>848.67</v>
      </c>
      <c r="J157" s="1">
        <v>4</v>
      </c>
      <c r="K157" s="1">
        <v>20</v>
      </c>
      <c r="L157" s="1" t="s">
        <v>24</v>
      </c>
      <c r="N157" s="1">
        <v>5</v>
      </c>
      <c r="O157" s="1">
        <v>2715.7440000000001</v>
      </c>
      <c r="P157" cm="1">
        <f t="array" ref="P157">_xlfn.IFS(O157&gt;=3000,20%,O157&gt;=1000,15%,O157&gt;=500,10%,O157&gt;=200,5%,O157&lt;200,0%)</f>
        <v>0.15</v>
      </c>
      <c r="Q157">
        <f t="shared" si="4"/>
        <v>407.36160000000001</v>
      </c>
      <c r="R157" t="str">
        <f t="shared" si="5"/>
        <v>Missing Data</v>
      </c>
    </row>
    <row r="158" spans="1:18" x14ac:dyDescent="0.35">
      <c r="A158" s="1" t="s">
        <v>276</v>
      </c>
      <c r="B158" s="2">
        <v>45377</v>
      </c>
      <c r="C158" s="1" t="s">
        <v>233</v>
      </c>
      <c r="D158" s="1">
        <v>52</v>
      </c>
      <c r="E158" s="1" t="s">
        <v>32</v>
      </c>
      <c r="F158" s="1" t="s">
        <v>33</v>
      </c>
      <c r="G158" s="1" t="s">
        <v>34</v>
      </c>
      <c r="H158" s="1" t="s">
        <v>79</v>
      </c>
      <c r="I158" s="1">
        <v>1191.52</v>
      </c>
      <c r="J158" s="1">
        <v>4</v>
      </c>
      <c r="K158" s="1">
        <v>5</v>
      </c>
      <c r="L158" s="1" t="s">
        <v>52</v>
      </c>
      <c r="M158" s="1">
        <v>1</v>
      </c>
      <c r="N158" s="1">
        <v>4</v>
      </c>
      <c r="O158" s="1">
        <v>4527.7759999999998</v>
      </c>
      <c r="P158" cm="1">
        <f t="array" ref="P158">_xlfn.IFS(O158&gt;=3000,20%,O158&gt;=1000,15%,O158&gt;=500,10%,O158&gt;=200,5%,O158&lt;200,0%)</f>
        <v>0.2</v>
      </c>
      <c r="Q158">
        <f t="shared" si="4"/>
        <v>905.55520000000001</v>
      </c>
      <c r="R158" t="str">
        <f t="shared" si="5"/>
        <v>High Risk</v>
      </c>
    </row>
    <row r="159" spans="1:18" x14ac:dyDescent="0.35">
      <c r="A159" s="1" t="s">
        <v>277</v>
      </c>
      <c r="B159" s="2">
        <v>45575</v>
      </c>
      <c r="C159" s="1" t="s">
        <v>278</v>
      </c>
      <c r="D159" s="1">
        <v>36</v>
      </c>
      <c r="E159" s="1" t="s">
        <v>32</v>
      </c>
      <c r="F159" s="1" t="s">
        <v>33</v>
      </c>
      <c r="G159" s="1" t="s">
        <v>47</v>
      </c>
      <c r="H159" s="1" t="s">
        <v>64</v>
      </c>
      <c r="I159" s="1">
        <v>175.16</v>
      </c>
      <c r="J159" s="1">
        <v>4</v>
      </c>
      <c r="K159" s="1">
        <v>0</v>
      </c>
      <c r="L159" s="1" t="s">
        <v>52</v>
      </c>
      <c r="N159" s="1">
        <v>7</v>
      </c>
      <c r="O159" s="1">
        <v>700.64</v>
      </c>
      <c r="P159" cm="1">
        <f t="array" ref="P159">_xlfn.IFS(O159&gt;=3000,20%,O159&gt;=1000,15%,O159&gt;=500,10%,O159&gt;=200,5%,O159&lt;200,0%)</f>
        <v>0.1</v>
      </c>
      <c r="Q159">
        <f t="shared" si="4"/>
        <v>70.064000000000007</v>
      </c>
      <c r="R159" t="str">
        <f t="shared" si="5"/>
        <v>Missing Data</v>
      </c>
    </row>
    <row r="160" spans="1:18" x14ac:dyDescent="0.35">
      <c r="A160" s="1" t="s">
        <v>279</v>
      </c>
      <c r="B160" s="2">
        <v>45357</v>
      </c>
      <c r="C160" s="1" t="s">
        <v>83</v>
      </c>
      <c r="D160" s="1">
        <v>37</v>
      </c>
      <c r="E160" s="1" t="s">
        <v>20</v>
      </c>
      <c r="F160" s="1" t="s">
        <v>46</v>
      </c>
      <c r="G160" s="1" t="s">
        <v>47</v>
      </c>
      <c r="H160" s="1" t="s">
        <v>48</v>
      </c>
      <c r="I160" s="1">
        <v>344.18</v>
      </c>
      <c r="J160" s="1">
        <v>2</v>
      </c>
      <c r="K160" s="1">
        <v>5</v>
      </c>
      <c r="L160" s="1" t="s">
        <v>24</v>
      </c>
      <c r="M160" s="1">
        <v>1</v>
      </c>
      <c r="N160" s="1">
        <v>2</v>
      </c>
      <c r="O160" s="1">
        <v>653.94200000000001</v>
      </c>
      <c r="P160" cm="1">
        <f t="array" ref="P160">_xlfn.IFS(O160&gt;=3000,20%,O160&gt;=1000,15%,O160&gt;=500,10%,O160&gt;=200,5%,O160&lt;200,0%)</f>
        <v>0.1</v>
      </c>
      <c r="Q160">
        <f t="shared" si="4"/>
        <v>65.394199999999998</v>
      </c>
      <c r="R160" t="str">
        <f t="shared" si="5"/>
        <v>High Risk</v>
      </c>
    </row>
    <row r="161" spans="1:18" x14ac:dyDescent="0.35">
      <c r="A161" s="1" t="s">
        <v>280</v>
      </c>
      <c r="B161" s="2">
        <v>45461</v>
      </c>
      <c r="C161" s="1" t="s">
        <v>130</v>
      </c>
      <c r="D161" s="1">
        <v>35</v>
      </c>
      <c r="E161" s="1" t="s">
        <v>32</v>
      </c>
      <c r="F161" s="1" t="s">
        <v>46</v>
      </c>
      <c r="G161" s="1" t="s">
        <v>38</v>
      </c>
      <c r="H161" s="1" t="s">
        <v>48</v>
      </c>
      <c r="I161" s="1">
        <v>485.6</v>
      </c>
      <c r="J161" s="1">
        <v>3</v>
      </c>
      <c r="K161" s="1">
        <v>5</v>
      </c>
      <c r="L161" s="1" t="s">
        <v>24</v>
      </c>
      <c r="M161" s="1">
        <v>4</v>
      </c>
      <c r="N161" s="1">
        <v>1</v>
      </c>
      <c r="O161" s="1">
        <v>1383.96</v>
      </c>
      <c r="P161" cm="1">
        <f t="array" ref="P161">_xlfn.IFS(O161&gt;=3000,20%,O161&gt;=1000,15%,O161&gt;=500,10%,O161&gt;=200,5%,O161&lt;200,0%)</f>
        <v>0.15</v>
      </c>
      <c r="Q161">
        <f t="shared" si="4"/>
        <v>207.59399999999999</v>
      </c>
      <c r="R161" t="str">
        <f t="shared" si="5"/>
        <v>Low Risk</v>
      </c>
    </row>
    <row r="162" spans="1:18" x14ac:dyDescent="0.35">
      <c r="A162" s="1" t="s">
        <v>281</v>
      </c>
      <c r="B162" s="2">
        <v>45336</v>
      </c>
      <c r="C162" s="1" t="s">
        <v>104</v>
      </c>
      <c r="D162" s="1">
        <v>58</v>
      </c>
      <c r="E162" s="1" t="s">
        <v>32</v>
      </c>
      <c r="F162" s="1" t="s">
        <v>27</v>
      </c>
      <c r="G162" s="1" t="s">
        <v>22</v>
      </c>
      <c r="H162" s="1" t="s">
        <v>125</v>
      </c>
      <c r="I162" s="1">
        <v>517.76</v>
      </c>
      <c r="J162" s="1">
        <v>3</v>
      </c>
      <c r="K162" s="1">
        <v>20</v>
      </c>
      <c r="L162" s="1" t="s">
        <v>29</v>
      </c>
      <c r="M162" s="1">
        <v>3</v>
      </c>
      <c r="N162" s="1">
        <v>1</v>
      </c>
      <c r="O162" s="1">
        <v>1242.624</v>
      </c>
      <c r="P162" cm="1">
        <f t="array" ref="P162">_xlfn.IFS(O162&gt;=3000,20%,O162&gt;=1000,15%,O162&gt;=500,10%,O162&gt;=200,5%,O162&lt;200,0%)</f>
        <v>0.15</v>
      </c>
      <c r="Q162">
        <f t="shared" si="4"/>
        <v>186.39359999999999</v>
      </c>
      <c r="R162" t="str">
        <f t="shared" si="5"/>
        <v>Medium Risk</v>
      </c>
    </row>
    <row r="163" spans="1:18" x14ac:dyDescent="0.35">
      <c r="A163" s="1" t="s">
        <v>282</v>
      </c>
      <c r="B163" s="2">
        <v>45353</v>
      </c>
      <c r="C163" s="1" t="s">
        <v>264</v>
      </c>
      <c r="D163" s="1">
        <v>31</v>
      </c>
      <c r="E163" s="1" t="s">
        <v>32</v>
      </c>
      <c r="F163" s="1" t="s">
        <v>27</v>
      </c>
      <c r="G163" s="1" t="s">
        <v>34</v>
      </c>
      <c r="H163" s="1" t="s">
        <v>125</v>
      </c>
      <c r="I163" s="1">
        <v>505</v>
      </c>
      <c r="J163" s="1">
        <v>4</v>
      </c>
      <c r="K163" s="1">
        <v>15</v>
      </c>
      <c r="L163" s="1" t="s">
        <v>43</v>
      </c>
      <c r="M163" s="1">
        <v>3</v>
      </c>
      <c r="N163" s="1">
        <v>1</v>
      </c>
      <c r="O163" s="1">
        <v>1717</v>
      </c>
      <c r="P163" cm="1">
        <f t="array" ref="P163">_xlfn.IFS(O163&gt;=3000,20%,O163&gt;=1000,15%,O163&gt;=500,10%,O163&gt;=200,5%,O163&lt;200,0%)</f>
        <v>0.15</v>
      </c>
      <c r="Q163">
        <f t="shared" si="4"/>
        <v>257.55</v>
      </c>
      <c r="R163" t="str">
        <f t="shared" si="5"/>
        <v>Medium Risk</v>
      </c>
    </row>
    <row r="164" spans="1:18" x14ac:dyDescent="0.35">
      <c r="A164" s="1" t="s">
        <v>283</v>
      </c>
      <c r="B164" s="2">
        <v>45425</v>
      </c>
      <c r="C164" s="1" t="s">
        <v>162</v>
      </c>
      <c r="D164" s="1">
        <v>32</v>
      </c>
      <c r="E164" s="1" t="s">
        <v>32</v>
      </c>
      <c r="F164" s="1" t="s">
        <v>51</v>
      </c>
      <c r="G164" s="1" t="s">
        <v>47</v>
      </c>
      <c r="H164" s="1" t="s">
        <v>23</v>
      </c>
      <c r="I164" s="1">
        <v>1090.98</v>
      </c>
      <c r="J164" s="1">
        <v>4</v>
      </c>
      <c r="K164" s="1">
        <v>0</v>
      </c>
      <c r="L164" s="1" t="s">
        <v>43</v>
      </c>
      <c r="M164" s="1">
        <v>2</v>
      </c>
      <c r="N164" s="1">
        <v>5</v>
      </c>
      <c r="O164" s="1">
        <v>4363.92</v>
      </c>
      <c r="P164" cm="1">
        <f t="array" ref="P164">_xlfn.IFS(O164&gt;=3000,20%,O164&gt;=1000,15%,O164&gt;=500,10%,O164&gt;=200,5%,O164&lt;200,0%)</f>
        <v>0.2</v>
      </c>
      <c r="Q164">
        <f t="shared" si="4"/>
        <v>872.78400000000011</v>
      </c>
      <c r="R164" t="str">
        <f t="shared" si="5"/>
        <v>Medium Risk</v>
      </c>
    </row>
    <row r="165" spans="1:18" x14ac:dyDescent="0.35">
      <c r="A165" s="1" t="s">
        <v>284</v>
      </c>
      <c r="B165" s="2">
        <v>45575</v>
      </c>
      <c r="C165" s="1" t="s">
        <v>285</v>
      </c>
      <c r="D165" s="1">
        <v>48</v>
      </c>
      <c r="E165" s="1" t="s">
        <v>32</v>
      </c>
      <c r="F165" s="1" t="s">
        <v>46</v>
      </c>
      <c r="G165" s="1" t="s">
        <v>38</v>
      </c>
      <c r="H165" s="1" t="s">
        <v>28</v>
      </c>
      <c r="I165" s="1">
        <v>862.56</v>
      </c>
      <c r="J165" s="1">
        <v>2</v>
      </c>
      <c r="K165" s="1">
        <v>20</v>
      </c>
      <c r="L165" s="1" t="s">
        <v>24</v>
      </c>
      <c r="M165" s="1">
        <v>1</v>
      </c>
      <c r="N165" s="1">
        <v>7</v>
      </c>
      <c r="O165" s="1">
        <v>1380.096</v>
      </c>
      <c r="P165" cm="1">
        <f t="array" ref="P165">_xlfn.IFS(O165&gt;=3000,20%,O165&gt;=1000,15%,O165&gt;=500,10%,O165&gt;=200,5%,O165&lt;200,0%)</f>
        <v>0.15</v>
      </c>
      <c r="Q165">
        <f t="shared" si="4"/>
        <v>207.01439999999999</v>
      </c>
      <c r="R165" t="str">
        <f t="shared" si="5"/>
        <v>High Risk</v>
      </c>
    </row>
    <row r="166" spans="1:18" x14ac:dyDescent="0.35">
      <c r="A166" s="1" t="s">
        <v>286</v>
      </c>
      <c r="B166" s="2">
        <v>45319</v>
      </c>
      <c r="C166" s="1" t="s">
        <v>287</v>
      </c>
      <c r="D166" s="1">
        <v>18</v>
      </c>
      <c r="E166" s="1" t="s">
        <v>32</v>
      </c>
      <c r="F166" s="1" t="s">
        <v>21</v>
      </c>
      <c r="G166" s="1" t="s">
        <v>47</v>
      </c>
      <c r="H166" s="1" t="s">
        <v>28</v>
      </c>
      <c r="I166" s="1">
        <v>737.33</v>
      </c>
      <c r="J166" s="1">
        <v>1</v>
      </c>
      <c r="K166" s="1">
        <v>5</v>
      </c>
      <c r="L166" s="1" t="s">
        <v>24</v>
      </c>
      <c r="M166" s="1">
        <v>4</v>
      </c>
      <c r="N166" s="1">
        <v>2</v>
      </c>
      <c r="O166" s="1">
        <v>700.46349999999995</v>
      </c>
      <c r="P166" cm="1">
        <f t="array" ref="P166">_xlfn.IFS(O166&gt;=3000,20%,O166&gt;=1000,15%,O166&gt;=500,10%,O166&gt;=200,5%,O166&lt;200,0%)</f>
        <v>0.1</v>
      </c>
      <c r="Q166">
        <f t="shared" si="4"/>
        <v>70.046350000000004</v>
      </c>
      <c r="R166" t="str">
        <f t="shared" si="5"/>
        <v>Low Risk</v>
      </c>
    </row>
    <row r="167" spans="1:18" x14ac:dyDescent="0.35">
      <c r="A167" s="1" t="s">
        <v>288</v>
      </c>
      <c r="B167" s="2">
        <v>45399</v>
      </c>
      <c r="C167" s="1" t="s">
        <v>289</v>
      </c>
      <c r="D167" s="1">
        <v>20</v>
      </c>
      <c r="E167" s="1" t="s">
        <v>20</v>
      </c>
      <c r="F167" s="1" t="s">
        <v>33</v>
      </c>
      <c r="G167" s="1" t="s">
        <v>34</v>
      </c>
      <c r="H167" s="1" t="s">
        <v>28</v>
      </c>
      <c r="I167" s="1">
        <v>385.06</v>
      </c>
      <c r="J167" s="1">
        <v>1</v>
      </c>
      <c r="K167" s="1">
        <v>5</v>
      </c>
      <c r="L167" s="1" t="s">
        <v>52</v>
      </c>
      <c r="M167" s="1">
        <v>1</v>
      </c>
      <c r="N167" s="1">
        <v>8</v>
      </c>
      <c r="O167" s="1">
        <v>365.80700000000002</v>
      </c>
      <c r="P167" cm="1">
        <f t="array" ref="P167">_xlfn.IFS(O167&gt;=3000,20%,O167&gt;=1000,15%,O167&gt;=500,10%,O167&gt;=200,5%,O167&lt;200,0%)</f>
        <v>0.05</v>
      </c>
      <c r="Q167">
        <f t="shared" si="4"/>
        <v>18.29035</v>
      </c>
      <c r="R167" t="str">
        <f t="shared" si="5"/>
        <v>High Risk</v>
      </c>
    </row>
    <row r="168" spans="1:18" x14ac:dyDescent="0.35">
      <c r="A168" s="1" t="s">
        <v>290</v>
      </c>
      <c r="B168" s="2">
        <v>45335</v>
      </c>
      <c r="C168" s="1" t="s">
        <v>291</v>
      </c>
      <c r="D168" s="1">
        <v>33</v>
      </c>
      <c r="E168" s="1" t="s">
        <v>20</v>
      </c>
      <c r="F168" s="1" t="s">
        <v>27</v>
      </c>
      <c r="G168" s="1" t="s">
        <v>34</v>
      </c>
      <c r="H168" s="1" t="s">
        <v>23</v>
      </c>
      <c r="I168" s="1">
        <v>992.07</v>
      </c>
      <c r="J168" s="1">
        <v>3</v>
      </c>
      <c r="K168" s="1">
        <v>15</v>
      </c>
      <c r="L168" s="1" t="s">
        <v>29</v>
      </c>
      <c r="M168" s="1">
        <v>5</v>
      </c>
      <c r="N168" s="1">
        <v>4</v>
      </c>
      <c r="O168" s="1">
        <v>2529.7784999999999</v>
      </c>
      <c r="P168" cm="1">
        <f t="array" ref="P168">_xlfn.IFS(O168&gt;=3000,20%,O168&gt;=1000,15%,O168&gt;=500,10%,O168&gt;=200,5%,O168&lt;200,0%)</f>
        <v>0.15</v>
      </c>
      <c r="Q168">
        <f t="shared" si="4"/>
        <v>379.46677499999998</v>
      </c>
      <c r="R168" t="str">
        <f t="shared" si="5"/>
        <v>Medium Risk</v>
      </c>
    </row>
    <row r="169" spans="1:18" x14ac:dyDescent="0.35">
      <c r="A169" s="1" t="s">
        <v>292</v>
      </c>
      <c r="B169" s="2">
        <v>45631</v>
      </c>
      <c r="C169" s="1" t="s">
        <v>225</v>
      </c>
      <c r="D169" s="1">
        <v>40</v>
      </c>
      <c r="E169" s="1" t="s">
        <v>32</v>
      </c>
      <c r="F169" s="1" t="s">
        <v>33</v>
      </c>
      <c r="G169" s="1" t="s">
        <v>41</v>
      </c>
      <c r="H169" s="1" t="s">
        <v>42</v>
      </c>
      <c r="I169" s="1">
        <v>1146.97</v>
      </c>
      <c r="J169" s="1">
        <v>2</v>
      </c>
      <c r="K169" s="1">
        <v>0</v>
      </c>
      <c r="L169" s="1" t="s">
        <v>29</v>
      </c>
      <c r="N169" s="1">
        <v>3</v>
      </c>
      <c r="O169" s="1">
        <v>2293.94</v>
      </c>
      <c r="P169" cm="1">
        <f t="array" ref="P169">_xlfn.IFS(O169&gt;=3000,20%,O169&gt;=1000,15%,O169&gt;=500,10%,O169&gt;=200,5%,O169&lt;200,0%)</f>
        <v>0.15</v>
      </c>
      <c r="Q169">
        <f t="shared" si="4"/>
        <v>344.09100000000001</v>
      </c>
      <c r="R169" t="str">
        <f t="shared" si="5"/>
        <v>Missing Data</v>
      </c>
    </row>
    <row r="170" spans="1:18" x14ac:dyDescent="0.35">
      <c r="A170" s="1" t="s">
        <v>293</v>
      </c>
      <c r="B170" s="2">
        <v>45577</v>
      </c>
      <c r="C170" s="1" t="s">
        <v>169</v>
      </c>
      <c r="D170" s="1">
        <v>28</v>
      </c>
      <c r="E170" s="1" t="s">
        <v>32</v>
      </c>
      <c r="F170" s="1" t="s">
        <v>33</v>
      </c>
      <c r="G170" s="1" t="s">
        <v>38</v>
      </c>
      <c r="H170" s="1" t="s">
        <v>48</v>
      </c>
      <c r="I170" s="1">
        <v>989.01</v>
      </c>
      <c r="J170" s="1">
        <v>4</v>
      </c>
      <c r="K170" s="1">
        <v>0</v>
      </c>
      <c r="L170" s="1" t="s">
        <v>24</v>
      </c>
      <c r="M170" s="1">
        <v>1</v>
      </c>
      <c r="N170" s="1">
        <v>8</v>
      </c>
      <c r="O170" s="1">
        <v>3956.04</v>
      </c>
      <c r="P170" cm="1">
        <f t="array" ref="P170">_xlfn.IFS(O170&gt;=3000,20%,O170&gt;=1000,15%,O170&gt;=500,10%,O170&gt;=200,5%,O170&lt;200,0%)</f>
        <v>0.2</v>
      </c>
      <c r="Q170">
        <f t="shared" si="4"/>
        <v>791.20800000000008</v>
      </c>
      <c r="R170" t="str">
        <f t="shared" si="5"/>
        <v>High Risk</v>
      </c>
    </row>
    <row r="171" spans="1:18" x14ac:dyDescent="0.35">
      <c r="A171" s="1" t="s">
        <v>294</v>
      </c>
      <c r="B171" s="2">
        <v>45622</v>
      </c>
      <c r="C171" s="1" t="s">
        <v>54</v>
      </c>
      <c r="D171" s="1">
        <v>29</v>
      </c>
      <c r="E171" s="1" t="s">
        <v>20</v>
      </c>
      <c r="F171" s="1" t="s">
        <v>51</v>
      </c>
      <c r="G171" s="1" t="s">
        <v>34</v>
      </c>
      <c r="H171" s="1" t="s">
        <v>64</v>
      </c>
      <c r="I171" s="1">
        <v>21.85</v>
      </c>
      <c r="J171" s="1">
        <v>3</v>
      </c>
      <c r="K171" s="1">
        <v>10</v>
      </c>
      <c r="L171" s="1" t="s">
        <v>52</v>
      </c>
      <c r="M171" s="1">
        <v>1</v>
      </c>
      <c r="N171" s="1">
        <v>2</v>
      </c>
      <c r="O171" s="1">
        <v>58.994999999999997</v>
      </c>
      <c r="P171" cm="1">
        <f t="array" ref="P171">_xlfn.IFS(O171&gt;=3000,20%,O171&gt;=1000,15%,O171&gt;=500,10%,O171&gt;=200,5%,O171&lt;200,0%)</f>
        <v>0</v>
      </c>
      <c r="Q171">
        <f t="shared" si="4"/>
        <v>0</v>
      </c>
      <c r="R171" t="str">
        <f t="shared" si="5"/>
        <v>High Risk</v>
      </c>
    </row>
    <row r="172" spans="1:18" x14ac:dyDescent="0.35">
      <c r="A172" s="1" t="s">
        <v>295</v>
      </c>
      <c r="B172" s="2">
        <v>45419</v>
      </c>
      <c r="C172" s="1" t="s">
        <v>113</v>
      </c>
      <c r="D172" s="1">
        <v>27</v>
      </c>
      <c r="E172" s="1" t="s">
        <v>32</v>
      </c>
      <c r="F172" s="1" t="s">
        <v>46</v>
      </c>
      <c r="G172" s="1" t="s">
        <v>41</v>
      </c>
      <c r="H172" s="1" t="s">
        <v>35</v>
      </c>
      <c r="I172" s="1">
        <v>770.95</v>
      </c>
      <c r="J172" s="1">
        <v>2</v>
      </c>
      <c r="K172" s="1">
        <v>0</v>
      </c>
      <c r="L172" s="1" t="s">
        <v>52</v>
      </c>
      <c r="M172" s="1">
        <v>3</v>
      </c>
      <c r="N172" s="1">
        <v>3</v>
      </c>
      <c r="O172" s="1">
        <v>1541.9</v>
      </c>
      <c r="P172" cm="1">
        <f t="array" ref="P172">_xlfn.IFS(O172&gt;=3000,20%,O172&gt;=1000,15%,O172&gt;=500,10%,O172&gt;=200,5%,O172&lt;200,0%)</f>
        <v>0.15</v>
      </c>
      <c r="Q172">
        <f t="shared" si="4"/>
        <v>231.285</v>
      </c>
      <c r="R172" t="str">
        <f t="shared" si="5"/>
        <v>Medium Risk</v>
      </c>
    </row>
    <row r="173" spans="1:18" x14ac:dyDescent="0.35">
      <c r="A173" s="1" t="s">
        <v>296</v>
      </c>
      <c r="B173" s="2">
        <v>45639</v>
      </c>
      <c r="C173" s="1" t="s">
        <v>61</v>
      </c>
      <c r="D173" s="1">
        <v>49</v>
      </c>
      <c r="E173" s="1" t="s">
        <v>32</v>
      </c>
      <c r="F173" s="1" t="s">
        <v>27</v>
      </c>
      <c r="G173" s="1" t="s">
        <v>41</v>
      </c>
      <c r="H173" s="1" t="s">
        <v>48</v>
      </c>
      <c r="I173" s="1">
        <v>80.34</v>
      </c>
      <c r="J173" s="1">
        <v>1</v>
      </c>
      <c r="K173" s="1">
        <v>15</v>
      </c>
      <c r="L173" s="1" t="s">
        <v>43</v>
      </c>
      <c r="N173" s="1">
        <v>3</v>
      </c>
      <c r="O173" s="1">
        <v>68.289000000000001</v>
      </c>
      <c r="P173" cm="1">
        <f t="array" ref="P173">_xlfn.IFS(O173&gt;=3000,20%,O173&gt;=1000,15%,O173&gt;=500,10%,O173&gt;=200,5%,O173&lt;200,0%)</f>
        <v>0</v>
      </c>
      <c r="Q173">
        <f t="shared" si="4"/>
        <v>0</v>
      </c>
      <c r="R173" t="str">
        <f t="shared" si="5"/>
        <v>Missing Data</v>
      </c>
    </row>
    <row r="174" spans="1:18" x14ac:dyDescent="0.35">
      <c r="A174" s="1" t="s">
        <v>297</v>
      </c>
      <c r="B174" s="2">
        <v>45522</v>
      </c>
      <c r="C174" s="1" t="s">
        <v>89</v>
      </c>
      <c r="D174" s="1">
        <v>33</v>
      </c>
      <c r="E174" s="1" t="s">
        <v>32</v>
      </c>
      <c r="F174" s="1" t="s">
        <v>33</v>
      </c>
      <c r="G174" s="1" t="s">
        <v>47</v>
      </c>
      <c r="H174" s="1" t="s">
        <v>125</v>
      </c>
      <c r="I174" s="1">
        <v>323.98</v>
      </c>
      <c r="J174" s="1">
        <v>2</v>
      </c>
      <c r="K174" s="1">
        <v>10</v>
      </c>
      <c r="L174" s="1" t="s">
        <v>43</v>
      </c>
      <c r="M174" s="1">
        <v>4</v>
      </c>
      <c r="N174" s="1">
        <v>1</v>
      </c>
      <c r="O174" s="1">
        <v>583.16399999999999</v>
      </c>
      <c r="P174" cm="1">
        <f t="array" ref="P174">_xlfn.IFS(O174&gt;=3000,20%,O174&gt;=1000,15%,O174&gt;=500,10%,O174&gt;=200,5%,O174&lt;200,0%)</f>
        <v>0.1</v>
      </c>
      <c r="Q174">
        <f t="shared" si="4"/>
        <v>58.316400000000002</v>
      </c>
      <c r="R174" t="str">
        <f t="shared" si="5"/>
        <v>Low Risk</v>
      </c>
    </row>
    <row r="175" spans="1:18" x14ac:dyDescent="0.35">
      <c r="A175" s="1" t="s">
        <v>298</v>
      </c>
      <c r="B175" s="2">
        <v>45481</v>
      </c>
      <c r="C175" s="1" t="s">
        <v>299</v>
      </c>
      <c r="D175" s="1">
        <v>25</v>
      </c>
      <c r="E175" s="1" t="s">
        <v>20</v>
      </c>
      <c r="F175" s="1" t="s">
        <v>27</v>
      </c>
      <c r="G175" s="1" t="s">
        <v>47</v>
      </c>
      <c r="H175" s="1" t="s">
        <v>96</v>
      </c>
      <c r="I175" s="1">
        <v>90.24</v>
      </c>
      <c r="J175" s="1">
        <v>1</v>
      </c>
      <c r="K175" s="1">
        <v>10</v>
      </c>
      <c r="L175" s="1" t="s">
        <v>52</v>
      </c>
      <c r="M175" s="1">
        <v>1</v>
      </c>
      <c r="N175" s="1">
        <v>6</v>
      </c>
      <c r="O175" s="1">
        <v>81.215999999999994</v>
      </c>
      <c r="P175" cm="1">
        <f t="array" ref="P175">_xlfn.IFS(O175&gt;=3000,20%,O175&gt;=1000,15%,O175&gt;=500,10%,O175&gt;=200,5%,O175&lt;200,0%)</f>
        <v>0</v>
      </c>
      <c r="Q175">
        <f t="shared" si="4"/>
        <v>0</v>
      </c>
      <c r="R175" t="str">
        <f t="shared" si="5"/>
        <v>High Risk</v>
      </c>
    </row>
    <row r="176" spans="1:18" x14ac:dyDescent="0.35">
      <c r="A176" s="1" t="s">
        <v>300</v>
      </c>
      <c r="B176" s="2">
        <v>45516</v>
      </c>
      <c r="C176" s="1" t="s">
        <v>233</v>
      </c>
      <c r="D176" s="1">
        <v>55</v>
      </c>
      <c r="E176" s="1" t="s">
        <v>32</v>
      </c>
      <c r="F176" s="1" t="s">
        <v>21</v>
      </c>
      <c r="G176" s="1" t="s">
        <v>41</v>
      </c>
      <c r="H176" s="1" t="s">
        <v>79</v>
      </c>
      <c r="I176" s="1">
        <v>732.48</v>
      </c>
      <c r="J176" s="1">
        <v>2</v>
      </c>
      <c r="K176" s="1">
        <v>5</v>
      </c>
      <c r="L176" s="1" t="s">
        <v>43</v>
      </c>
      <c r="M176" s="1">
        <v>3</v>
      </c>
      <c r="N176" s="1">
        <v>2</v>
      </c>
      <c r="O176" s="1">
        <v>1391.712</v>
      </c>
      <c r="P176" cm="1">
        <f t="array" ref="P176">_xlfn.IFS(O176&gt;=3000,20%,O176&gt;=1000,15%,O176&gt;=500,10%,O176&gt;=200,5%,O176&lt;200,0%)</f>
        <v>0.15</v>
      </c>
      <c r="Q176">
        <f t="shared" si="4"/>
        <v>208.7568</v>
      </c>
      <c r="R176" t="str">
        <f t="shared" si="5"/>
        <v>Medium Risk</v>
      </c>
    </row>
    <row r="177" spans="1:18" x14ac:dyDescent="0.35">
      <c r="A177" s="1" t="s">
        <v>301</v>
      </c>
      <c r="B177" s="2">
        <v>45574</v>
      </c>
      <c r="C177" s="1" t="s">
        <v>154</v>
      </c>
      <c r="D177" s="1">
        <v>29</v>
      </c>
      <c r="E177" s="1" t="s">
        <v>20</v>
      </c>
      <c r="F177" s="1" t="s">
        <v>51</v>
      </c>
      <c r="G177" s="1" t="s">
        <v>47</v>
      </c>
      <c r="H177" s="1" t="s">
        <v>23</v>
      </c>
      <c r="I177" s="1">
        <v>830.18</v>
      </c>
      <c r="J177" s="1">
        <v>3</v>
      </c>
      <c r="K177" s="1">
        <v>5</v>
      </c>
      <c r="L177" s="1" t="s">
        <v>24</v>
      </c>
      <c r="M177" s="1">
        <v>2</v>
      </c>
      <c r="N177" s="1">
        <v>1</v>
      </c>
      <c r="O177" s="1">
        <v>2366.0129999999999</v>
      </c>
      <c r="P177" cm="1">
        <f t="array" ref="P177">_xlfn.IFS(O177&gt;=3000,20%,O177&gt;=1000,15%,O177&gt;=500,10%,O177&gt;=200,5%,O177&lt;200,0%)</f>
        <v>0.15</v>
      </c>
      <c r="Q177">
        <f t="shared" si="4"/>
        <v>354.90195</v>
      </c>
      <c r="R177" t="str">
        <f t="shared" si="5"/>
        <v>Medium Risk</v>
      </c>
    </row>
    <row r="178" spans="1:18" x14ac:dyDescent="0.35">
      <c r="A178" s="1" t="s">
        <v>302</v>
      </c>
      <c r="B178" s="2">
        <v>45412</v>
      </c>
      <c r="C178" s="1" t="s">
        <v>104</v>
      </c>
      <c r="D178" s="1">
        <v>41</v>
      </c>
      <c r="E178" s="1" t="s">
        <v>32</v>
      </c>
      <c r="F178" s="1" t="s">
        <v>21</v>
      </c>
      <c r="G178" s="1" t="s">
        <v>34</v>
      </c>
      <c r="H178" s="1" t="s">
        <v>55</v>
      </c>
      <c r="I178" s="1">
        <v>155.1</v>
      </c>
      <c r="J178" s="1">
        <v>1</v>
      </c>
      <c r="K178" s="1">
        <v>0</v>
      </c>
      <c r="L178" s="1" t="s">
        <v>52</v>
      </c>
      <c r="N178" s="1">
        <v>2</v>
      </c>
      <c r="O178" s="1">
        <v>155.1</v>
      </c>
      <c r="P178" cm="1">
        <f t="array" ref="P178">_xlfn.IFS(O178&gt;=3000,20%,O178&gt;=1000,15%,O178&gt;=500,10%,O178&gt;=200,5%,O178&lt;200,0%)</f>
        <v>0</v>
      </c>
      <c r="Q178">
        <f t="shared" si="4"/>
        <v>0</v>
      </c>
      <c r="R178" t="str">
        <f t="shared" si="5"/>
        <v>Missing Data</v>
      </c>
    </row>
    <row r="179" spans="1:18" x14ac:dyDescent="0.35">
      <c r="A179" s="1" t="s">
        <v>303</v>
      </c>
      <c r="B179" s="2">
        <v>45407</v>
      </c>
      <c r="C179" s="1" t="s">
        <v>85</v>
      </c>
      <c r="D179" s="1">
        <v>45</v>
      </c>
      <c r="E179" s="1" t="s">
        <v>20</v>
      </c>
      <c r="F179" s="1" t="s">
        <v>27</v>
      </c>
      <c r="G179" s="1" t="s">
        <v>22</v>
      </c>
      <c r="H179" s="1" t="s">
        <v>96</v>
      </c>
      <c r="I179" s="1">
        <v>472.93</v>
      </c>
      <c r="J179" s="1">
        <v>3</v>
      </c>
      <c r="K179" s="1">
        <v>10</v>
      </c>
      <c r="L179" s="1" t="s">
        <v>43</v>
      </c>
      <c r="M179" s="1">
        <v>3</v>
      </c>
      <c r="N179" s="1">
        <v>6</v>
      </c>
      <c r="O179" s="1">
        <v>1276.9110000000001</v>
      </c>
      <c r="P179" cm="1">
        <f t="array" ref="P179">_xlfn.IFS(O179&gt;=3000,20%,O179&gt;=1000,15%,O179&gt;=500,10%,O179&gt;=200,5%,O179&lt;200,0%)</f>
        <v>0.15</v>
      </c>
      <c r="Q179">
        <f t="shared" si="4"/>
        <v>191.53665000000001</v>
      </c>
      <c r="R179" t="str">
        <f t="shared" si="5"/>
        <v>Medium Risk</v>
      </c>
    </row>
    <row r="180" spans="1:18" x14ac:dyDescent="0.35">
      <c r="A180" s="1" t="s">
        <v>304</v>
      </c>
      <c r="B180" s="2">
        <v>45524</v>
      </c>
      <c r="C180" s="1" t="s">
        <v>156</v>
      </c>
      <c r="D180" s="1">
        <v>25</v>
      </c>
      <c r="E180" s="1" t="s">
        <v>20</v>
      </c>
      <c r="F180" s="1" t="s">
        <v>27</v>
      </c>
      <c r="G180" s="1" t="s">
        <v>34</v>
      </c>
      <c r="H180" s="1" t="s">
        <v>35</v>
      </c>
      <c r="I180" s="1">
        <v>558.36</v>
      </c>
      <c r="J180" s="1">
        <v>3</v>
      </c>
      <c r="K180" s="1">
        <v>5</v>
      </c>
      <c r="L180" s="1" t="s">
        <v>29</v>
      </c>
      <c r="M180" s="1">
        <v>3</v>
      </c>
      <c r="N180" s="1">
        <v>4</v>
      </c>
      <c r="O180" s="1">
        <v>1591.326</v>
      </c>
      <c r="P180" cm="1">
        <f t="array" ref="P180">_xlfn.IFS(O180&gt;=3000,20%,O180&gt;=1000,15%,O180&gt;=500,10%,O180&gt;=200,5%,O180&lt;200,0%)</f>
        <v>0.15</v>
      </c>
      <c r="Q180">
        <f t="shared" si="4"/>
        <v>238.69889999999998</v>
      </c>
      <c r="R180" t="str">
        <f t="shared" si="5"/>
        <v>Medium Risk</v>
      </c>
    </row>
    <row r="181" spans="1:18" x14ac:dyDescent="0.35">
      <c r="A181" s="1" t="s">
        <v>305</v>
      </c>
      <c r="B181" s="2">
        <v>45550</v>
      </c>
      <c r="C181" s="1" t="s">
        <v>107</v>
      </c>
      <c r="D181" s="1">
        <v>45</v>
      </c>
      <c r="E181" s="1" t="s">
        <v>32</v>
      </c>
      <c r="F181" s="1" t="s">
        <v>46</v>
      </c>
      <c r="G181" s="1" t="s">
        <v>41</v>
      </c>
      <c r="H181" s="1" t="s">
        <v>28</v>
      </c>
      <c r="I181" s="1">
        <v>455.48</v>
      </c>
      <c r="J181" s="1">
        <v>1</v>
      </c>
      <c r="K181" s="1">
        <v>15</v>
      </c>
      <c r="L181" s="1" t="s">
        <v>52</v>
      </c>
      <c r="M181" s="1">
        <v>3</v>
      </c>
      <c r="N181" s="1">
        <v>6</v>
      </c>
      <c r="O181" s="1">
        <v>387.15800000000002</v>
      </c>
      <c r="P181" cm="1">
        <f t="array" ref="P181">_xlfn.IFS(O181&gt;=3000,20%,O181&gt;=1000,15%,O181&gt;=500,10%,O181&gt;=200,5%,O181&lt;200,0%)</f>
        <v>0.05</v>
      </c>
      <c r="Q181">
        <f t="shared" si="4"/>
        <v>19.357900000000001</v>
      </c>
      <c r="R181" t="str">
        <f t="shared" si="5"/>
        <v>Medium Risk</v>
      </c>
    </row>
    <row r="182" spans="1:18" x14ac:dyDescent="0.35">
      <c r="A182" s="1" t="s">
        <v>306</v>
      </c>
      <c r="B182" s="2">
        <v>45650</v>
      </c>
      <c r="C182" s="1" t="s">
        <v>109</v>
      </c>
      <c r="D182" s="1">
        <v>53</v>
      </c>
      <c r="E182" s="1" t="s">
        <v>20</v>
      </c>
      <c r="F182" s="1" t="s">
        <v>33</v>
      </c>
      <c r="G182" s="1" t="s">
        <v>41</v>
      </c>
      <c r="H182" s="1" t="s">
        <v>125</v>
      </c>
      <c r="I182" s="1">
        <v>162.81</v>
      </c>
      <c r="J182" s="1">
        <v>1</v>
      </c>
      <c r="K182" s="1">
        <v>5</v>
      </c>
      <c r="L182" s="1" t="s">
        <v>52</v>
      </c>
      <c r="M182" s="1">
        <v>1</v>
      </c>
      <c r="N182" s="1">
        <v>9</v>
      </c>
      <c r="O182" s="1">
        <v>154.6695</v>
      </c>
      <c r="P182" cm="1">
        <f t="array" ref="P182">_xlfn.IFS(O182&gt;=3000,20%,O182&gt;=1000,15%,O182&gt;=500,10%,O182&gt;=200,5%,O182&lt;200,0%)</f>
        <v>0</v>
      </c>
      <c r="Q182">
        <f t="shared" si="4"/>
        <v>0</v>
      </c>
      <c r="R182" t="str">
        <f t="shared" si="5"/>
        <v>High Risk</v>
      </c>
    </row>
    <row r="183" spans="1:18" x14ac:dyDescent="0.35">
      <c r="A183" s="1" t="s">
        <v>307</v>
      </c>
      <c r="B183" s="2">
        <v>45489</v>
      </c>
      <c r="C183" s="1" t="s">
        <v>91</v>
      </c>
      <c r="D183" s="1">
        <v>43</v>
      </c>
      <c r="E183" s="1" t="s">
        <v>32</v>
      </c>
      <c r="F183" s="1" t="s">
        <v>33</v>
      </c>
      <c r="G183" s="1" t="s">
        <v>34</v>
      </c>
      <c r="H183" s="1" t="s">
        <v>125</v>
      </c>
      <c r="I183" s="1">
        <v>514.36</v>
      </c>
      <c r="J183" s="1">
        <v>4</v>
      </c>
      <c r="K183" s="1">
        <v>5</v>
      </c>
      <c r="L183" s="1" t="s">
        <v>29</v>
      </c>
      <c r="M183" s="1">
        <v>1</v>
      </c>
      <c r="N183" s="1">
        <v>8</v>
      </c>
      <c r="O183" s="1">
        <v>1954.568</v>
      </c>
      <c r="P183" cm="1">
        <f t="array" ref="P183">_xlfn.IFS(O183&gt;=3000,20%,O183&gt;=1000,15%,O183&gt;=500,10%,O183&gt;=200,5%,O183&lt;200,0%)</f>
        <v>0.15</v>
      </c>
      <c r="Q183">
        <f t="shared" si="4"/>
        <v>293.18520000000001</v>
      </c>
      <c r="R183" t="str">
        <f t="shared" si="5"/>
        <v>High Risk</v>
      </c>
    </row>
    <row r="184" spans="1:18" x14ac:dyDescent="0.35">
      <c r="A184" s="1" t="s">
        <v>308</v>
      </c>
      <c r="B184" s="2">
        <v>45428</v>
      </c>
      <c r="C184" s="1" t="s">
        <v>76</v>
      </c>
      <c r="D184" s="1">
        <v>25</v>
      </c>
      <c r="E184" s="1" t="s">
        <v>20</v>
      </c>
      <c r="F184" s="1" t="s">
        <v>21</v>
      </c>
      <c r="G184" s="1" t="s">
        <v>47</v>
      </c>
      <c r="H184" s="1" t="s">
        <v>125</v>
      </c>
      <c r="I184" s="1">
        <v>906.39</v>
      </c>
      <c r="J184" s="1">
        <v>4</v>
      </c>
      <c r="K184" s="1">
        <v>10</v>
      </c>
      <c r="L184" s="1" t="s">
        <v>24</v>
      </c>
      <c r="M184" s="1">
        <v>2</v>
      </c>
      <c r="N184" s="1">
        <v>1</v>
      </c>
      <c r="O184" s="1">
        <v>3263.0039999999999</v>
      </c>
      <c r="P184" cm="1">
        <f t="array" ref="P184">_xlfn.IFS(O184&gt;=3000,20%,O184&gt;=1000,15%,O184&gt;=500,10%,O184&gt;=200,5%,O184&lt;200,0%)</f>
        <v>0.2</v>
      </c>
      <c r="Q184">
        <f t="shared" si="4"/>
        <v>652.60080000000005</v>
      </c>
      <c r="R184" t="str">
        <f t="shared" si="5"/>
        <v>Medium Risk</v>
      </c>
    </row>
    <row r="185" spans="1:18" x14ac:dyDescent="0.35">
      <c r="A185" s="1" t="s">
        <v>309</v>
      </c>
      <c r="B185" s="2">
        <v>45609</v>
      </c>
      <c r="C185" s="1" t="s">
        <v>310</v>
      </c>
      <c r="D185" s="1">
        <v>45</v>
      </c>
      <c r="E185" s="1" t="s">
        <v>32</v>
      </c>
      <c r="F185" s="1" t="s">
        <v>51</v>
      </c>
      <c r="G185" s="1" t="s">
        <v>47</v>
      </c>
      <c r="H185" s="1" t="s">
        <v>28</v>
      </c>
      <c r="I185" s="1">
        <v>103.79</v>
      </c>
      <c r="J185" s="1">
        <v>4</v>
      </c>
      <c r="K185" s="1">
        <v>10</v>
      </c>
      <c r="L185" s="1" t="s">
        <v>29</v>
      </c>
      <c r="M185" s="1">
        <v>5</v>
      </c>
      <c r="N185" s="1">
        <v>8</v>
      </c>
      <c r="O185" s="1">
        <v>373.64400000000001</v>
      </c>
      <c r="P185" cm="1">
        <f t="array" ref="P185">_xlfn.IFS(O185&gt;=3000,20%,O185&gt;=1000,15%,O185&gt;=500,10%,O185&gt;=200,5%,O185&lt;200,0%)</f>
        <v>0.05</v>
      </c>
      <c r="Q185">
        <f t="shared" si="4"/>
        <v>18.682200000000002</v>
      </c>
      <c r="R185" t="str">
        <f t="shared" si="5"/>
        <v>Low Risk</v>
      </c>
    </row>
    <row r="186" spans="1:18" x14ac:dyDescent="0.35">
      <c r="A186" s="1" t="s">
        <v>311</v>
      </c>
      <c r="B186" s="2">
        <v>45456</v>
      </c>
      <c r="C186" s="1" t="s">
        <v>169</v>
      </c>
      <c r="D186" s="1">
        <v>45</v>
      </c>
      <c r="E186" s="1" t="s">
        <v>32</v>
      </c>
      <c r="F186" s="1" t="s">
        <v>33</v>
      </c>
      <c r="G186" s="1" t="s">
        <v>41</v>
      </c>
      <c r="H186" s="1" t="s">
        <v>55</v>
      </c>
      <c r="I186" s="1">
        <v>114.61</v>
      </c>
      <c r="J186" s="1">
        <v>3</v>
      </c>
      <c r="K186" s="1">
        <v>20</v>
      </c>
      <c r="L186" s="1" t="s">
        <v>52</v>
      </c>
      <c r="M186" s="1">
        <v>5</v>
      </c>
      <c r="N186" s="1">
        <v>9</v>
      </c>
      <c r="O186" s="1">
        <v>275.06400000000002</v>
      </c>
      <c r="P186" cm="1">
        <f t="array" ref="P186">_xlfn.IFS(O186&gt;=3000,20%,O186&gt;=1000,15%,O186&gt;=500,10%,O186&gt;=200,5%,O186&lt;200,0%)</f>
        <v>0.05</v>
      </c>
      <c r="Q186">
        <f t="shared" si="4"/>
        <v>13.753200000000001</v>
      </c>
      <c r="R186" t="str">
        <f t="shared" si="5"/>
        <v>Medium Risk</v>
      </c>
    </row>
    <row r="187" spans="1:18" x14ac:dyDescent="0.35">
      <c r="A187" s="1" t="s">
        <v>312</v>
      </c>
      <c r="B187" s="2">
        <v>45516</v>
      </c>
      <c r="C187" s="1" t="s">
        <v>19</v>
      </c>
      <c r="D187" s="1">
        <v>54</v>
      </c>
      <c r="E187" s="1" t="s">
        <v>20</v>
      </c>
      <c r="F187" s="1" t="s">
        <v>46</v>
      </c>
      <c r="G187" s="1" t="s">
        <v>38</v>
      </c>
      <c r="H187" s="1" t="s">
        <v>23</v>
      </c>
      <c r="I187" s="1">
        <v>438.63</v>
      </c>
      <c r="J187" s="1">
        <v>3</v>
      </c>
      <c r="K187" s="1">
        <v>15</v>
      </c>
      <c r="L187" s="1" t="s">
        <v>24</v>
      </c>
      <c r="M187" s="1">
        <v>5</v>
      </c>
      <c r="N187" s="1">
        <v>6</v>
      </c>
      <c r="O187" s="1">
        <v>1118.5065</v>
      </c>
      <c r="P187" cm="1">
        <f t="array" ref="P187">_xlfn.IFS(O187&gt;=3000,20%,O187&gt;=1000,15%,O187&gt;=500,10%,O187&gt;=200,5%,O187&lt;200,0%)</f>
        <v>0.15</v>
      </c>
      <c r="Q187">
        <f t="shared" si="4"/>
        <v>167.77597499999999</v>
      </c>
      <c r="R187" t="str">
        <f t="shared" si="5"/>
        <v>Medium Risk</v>
      </c>
    </row>
    <row r="188" spans="1:18" x14ac:dyDescent="0.35">
      <c r="A188" s="1" t="s">
        <v>313</v>
      </c>
      <c r="B188" s="2">
        <v>45598</v>
      </c>
      <c r="C188" s="1" t="s">
        <v>152</v>
      </c>
      <c r="D188" s="1">
        <v>58</v>
      </c>
      <c r="E188" s="1" t="s">
        <v>32</v>
      </c>
      <c r="F188" s="1" t="s">
        <v>21</v>
      </c>
      <c r="G188" s="1" t="s">
        <v>47</v>
      </c>
      <c r="H188" s="1" t="s">
        <v>96</v>
      </c>
      <c r="I188" s="1">
        <v>1131.24</v>
      </c>
      <c r="J188" s="1">
        <v>4</v>
      </c>
      <c r="K188" s="1">
        <v>10</v>
      </c>
      <c r="L188" s="1" t="s">
        <v>43</v>
      </c>
      <c r="N188" s="1">
        <v>5</v>
      </c>
      <c r="O188" s="1">
        <v>4072.4639999999999</v>
      </c>
      <c r="P188" cm="1">
        <f t="array" ref="P188">_xlfn.IFS(O188&gt;=3000,20%,O188&gt;=1000,15%,O188&gt;=500,10%,O188&gt;=200,5%,O188&lt;200,0%)</f>
        <v>0.2</v>
      </c>
      <c r="Q188">
        <f t="shared" si="4"/>
        <v>814.49279999999999</v>
      </c>
      <c r="R188" t="str">
        <f t="shared" si="5"/>
        <v>Missing Data</v>
      </c>
    </row>
    <row r="189" spans="1:18" x14ac:dyDescent="0.35">
      <c r="A189" s="1" t="s">
        <v>314</v>
      </c>
      <c r="B189" s="2">
        <v>45525</v>
      </c>
      <c r="C189" s="1" t="s">
        <v>315</v>
      </c>
      <c r="D189" s="1">
        <v>53</v>
      </c>
      <c r="E189" s="1" t="s">
        <v>32</v>
      </c>
      <c r="F189" s="1" t="s">
        <v>21</v>
      </c>
      <c r="G189" s="1" t="s">
        <v>34</v>
      </c>
      <c r="H189" s="1" t="s">
        <v>28</v>
      </c>
      <c r="I189" s="1">
        <v>808.92</v>
      </c>
      <c r="J189" s="1">
        <v>3</v>
      </c>
      <c r="K189" s="1">
        <v>0</v>
      </c>
      <c r="L189" s="1" t="s">
        <v>43</v>
      </c>
      <c r="N189" s="1">
        <v>6</v>
      </c>
      <c r="O189" s="1">
        <v>2426.7600000000002</v>
      </c>
      <c r="P189" cm="1">
        <f t="array" ref="P189">_xlfn.IFS(O189&gt;=3000,20%,O189&gt;=1000,15%,O189&gt;=500,10%,O189&gt;=200,5%,O189&lt;200,0%)</f>
        <v>0.15</v>
      </c>
      <c r="Q189">
        <f t="shared" si="4"/>
        <v>364.01400000000001</v>
      </c>
      <c r="R189" t="str">
        <f t="shared" si="5"/>
        <v>Missing Data</v>
      </c>
    </row>
    <row r="190" spans="1:18" x14ac:dyDescent="0.35">
      <c r="A190" s="1" t="s">
        <v>316</v>
      </c>
      <c r="B190" s="2">
        <v>45463</v>
      </c>
      <c r="C190" s="1" t="s">
        <v>122</v>
      </c>
      <c r="D190" s="1">
        <v>44</v>
      </c>
      <c r="E190" s="1" t="s">
        <v>20</v>
      </c>
      <c r="F190" s="1" t="s">
        <v>46</v>
      </c>
      <c r="G190" s="1" t="s">
        <v>47</v>
      </c>
      <c r="H190" s="1" t="s">
        <v>35</v>
      </c>
      <c r="I190" s="1">
        <v>820.83</v>
      </c>
      <c r="J190" s="1">
        <v>3</v>
      </c>
      <c r="K190" s="1">
        <v>15</v>
      </c>
      <c r="L190" s="1" t="s">
        <v>43</v>
      </c>
      <c r="M190" s="1">
        <v>2</v>
      </c>
      <c r="N190" s="1">
        <v>6</v>
      </c>
      <c r="O190" s="1">
        <v>2093.1165000000001</v>
      </c>
      <c r="P190" cm="1">
        <f t="array" ref="P190">_xlfn.IFS(O190&gt;=3000,20%,O190&gt;=1000,15%,O190&gt;=500,10%,O190&gt;=200,5%,O190&lt;200,0%)</f>
        <v>0.15</v>
      </c>
      <c r="Q190">
        <f t="shared" si="4"/>
        <v>313.96747499999998</v>
      </c>
      <c r="R190" t="str">
        <f t="shared" si="5"/>
        <v>Medium Risk</v>
      </c>
    </row>
    <row r="191" spans="1:18" x14ac:dyDescent="0.35">
      <c r="A191" s="1" t="s">
        <v>317</v>
      </c>
      <c r="B191" s="2">
        <v>45443</v>
      </c>
      <c r="C191" s="1" t="s">
        <v>233</v>
      </c>
      <c r="D191" s="1">
        <v>34</v>
      </c>
      <c r="E191" s="1" t="s">
        <v>32</v>
      </c>
      <c r="F191" s="1" t="s">
        <v>51</v>
      </c>
      <c r="G191" s="1" t="s">
        <v>34</v>
      </c>
      <c r="H191" s="1" t="s">
        <v>23</v>
      </c>
      <c r="I191" s="1">
        <v>447.07</v>
      </c>
      <c r="J191" s="1">
        <v>1</v>
      </c>
      <c r="K191" s="1">
        <v>15</v>
      </c>
      <c r="L191" s="1" t="s">
        <v>52</v>
      </c>
      <c r="N191" s="1">
        <v>9</v>
      </c>
      <c r="O191" s="1">
        <v>380.0095</v>
      </c>
      <c r="P191" cm="1">
        <f t="array" ref="P191">_xlfn.IFS(O191&gt;=3000,20%,O191&gt;=1000,15%,O191&gt;=500,10%,O191&gt;=200,5%,O191&lt;200,0%)</f>
        <v>0.05</v>
      </c>
      <c r="Q191">
        <f t="shared" si="4"/>
        <v>19.000475000000002</v>
      </c>
      <c r="R191" t="str">
        <f t="shared" si="5"/>
        <v>Missing Data</v>
      </c>
    </row>
    <row r="192" spans="1:18" x14ac:dyDescent="0.35">
      <c r="A192" s="1" t="s">
        <v>318</v>
      </c>
      <c r="B192" s="2">
        <v>45606</v>
      </c>
      <c r="C192" s="1" t="s">
        <v>289</v>
      </c>
      <c r="D192" s="1">
        <v>26</v>
      </c>
      <c r="E192" s="1" t="s">
        <v>32</v>
      </c>
      <c r="F192" s="1" t="s">
        <v>46</v>
      </c>
      <c r="G192" s="1" t="s">
        <v>41</v>
      </c>
      <c r="H192" s="1" t="s">
        <v>35</v>
      </c>
      <c r="I192" s="1">
        <v>720.52</v>
      </c>
      <c r="J192" s="1">
        <v>1</v>
      </c>
      <c r="K192" s="1">
        <v>10</v>
      </c>
      <c r="L192" s="1" t="s">
        <v>29</v>
      </c>
      <c r="M192" s="1">
        <v>5</v>
      </c>
      <c r="N192" s="1">
        <v>4</v>
      </c>
      <c r="O192" s="1">
        <v>648.46799999999996</v>
      </c>
      <c r="P192" cm="1">
        <f t="array" ref="P192">_xlfn.IFS(O192&gt;=3000,20%,O192&gt;=1000,15%,O192&gt;=500,10%,O192&gt;=200,5%,O192&lt;200,0%)</f>
        <v>0.1</v>
      </c>
      <c r="Q192">
        <f t="shared" si="4"/>
        <v>64.846800000000002</v>
      </c>
      <c r="R192" t="str">
        <f t="shared" si="5"/>
        <v>Low Risk</v>
      </c>
    </row>
    <row r="193" spans="1:18" x14ac:dyDescent="0.35">
      <c r="A193" s="1" t="s">
        <v>319</v>
      </c>
      <c r="B193" s="2">
        <v>45451</v>
      </c>
      <c r="C193" s="1" t="s">
        <v>54</v>
      </c>
      <c r="D193" s="1">
        <v>50</v>
      </c>
      <c r="E193" s="1" t="s">
        <v>20</v>
      </c>
      <c r="F193" s="1" t="s">
        <v>51</v>
      </c>
      <c r="G193" s="1" t="s">
        <v>47</v>
      </c>
      <c r="H193" s="1" t="s">
        <v>23</v>
      </c>
      <c r="I193" s="1">
        <v>31.95</v>
      </c>
      <c r="J193" s="1">
        <v>3</v>
      </c>
      <c r="K193" s="1">
        <v>15</v>
      </c>
      <c r="L193" s="1" t="s">
        <v>24</v>
      </c>
      <c r="M193" s="1">
        <v>5</v>
      </c>
      <c r="N193" s="1">
        <v>2</v>
      </c>
      <c r="O193" s="1">
        <v>81.472499999999997</v>
      </c>
      <c r="P193" cm="1">
        <f t="array" ref="P193">_xlfn.IFS(O193&gt;=3000,20%,O193&gt;=1000,15%,O193&gt;=500,10%,O193&gt;=200,5%,O193&lt;200,0%)</f>
        <v>0</v>
      </c>
      <c r="Q193">
        <f t="shared" si="4"/>
        <v>0</v>
      </c>
      <c r="R193" t="str">
        <f t="shared" si="5"/>
        <v>Medium Risk</v>
      </c>
    </row>
    <row r="194" spans="1:18" x14ac:dyDescent="0.35">
      <c r="A194" s="1" t="s">
        <v>320</v>
      </c>
      <c r="B194" s="2">
        <v>45387</v>
      </c>
      <c r="C194" s="1" t="s">
        <v>61</v>
      </c>
      <c r="D194" s="1">
        <v>37</v>
      </c>
      <c r="E194" s="1" t="s">
        <v>20</v>
      </c>
      <c r="F194" s="1" t="s">
        <v>46</v>
      </c>
      <c r="G194" s="1" t="s">
        <v>34</v>
      </c>
      <c r="H194" s="1" t="s">
        <v>55</v>
      </c>
      <c r="I194" s="1">
        <v>770.59</v>
      </c>
      <c r="J194" s="1">
        <v>4</v>
      </c>
      <c r="K194" s="1">
        <v>10</v>
      </c>
      <c r="L194" s="1" t="s">
        <v>43</v>
      </c>
      <c r="M194" s="1">
        <v>3</v>
      </c>
      <c r="N194" s="1">
        <v>9</v>
      </c>
      <c r="O194" s="1">
        <v>2774.1239999999998</v>
      </c>
      <c r="P194" cm="1">
        <f t="array" ref="P194">_xlfn.IFS(O194&gt;=3000,20%,O194&gt;=1000,15%,O194&gt;=500,10%,O194&gt;=200,5%,O194&lt;200,0%)</f>
        <v>0.15</v>
      </c>
      <c r="Q194">
        <f t="shared" si="4"/>
        <v>416.11859999999996</v>
      </c>
      <c r="R194" t="str">
        <f t="shared" si="5"/>
        <v>Medium Risk</v>
      </c>
    </row>
    <row r="195" spans="1:18" x14ac:dyDescent="0.35">
      <c r="A195" s="1" t="s">
        <v>321</v>
      </c>
      <c r="B195" s="2">
        <v>45524</v>
      </c>
      <c r="C195" s="1" t="s">
        <v>158</v>
      </c>
      <c r="D195" s="1">
        <v>30</v>
      </c>
      <c r="E195" s="1" t="s">
        <v>32</v>
      </c>
      <c r="F195" s="1" t="s">
        <v>46</v>
      </c>
      <c r="G195" s="1" t="s">
        <v>41</v>
      </c>
      <c r="H195" s="1" t="s">
        <v>79</v>
      </c>
      <c r="I195" s="1">
        <v>1097.68</v>
      </c>
      <c r="J195" s="1">
        <v>2</v>
      </c>
      <c r="K195" s="1">
        <v>5</v>
      </c>
      <c r="L195" s="1" t="s">
        <v>24</v>
      </c>
      <c r="N195" s="1">
        <v>2</v>
      </c>
      <c r="O195" s="1">
        <v>2085.5920000000001</v>
      </c>
      <c r="P195" cm="1">
        <f t="array" ref="P195">_xlfn.IFS(O195&gt;=3000,20%,O195&gt;=1000,15%,O195&gt;=500,10%,O195&gt;=200,5%,O195&lt;200,0%)</f>
        <v>0.15</v>
      </c>
      <c r="Q195">
        <f t="shared" ref="Q195:Q258" si="6">(P195*O195)</f>
        <v>312.83879999999999</v>
      </c>
      <c r="R195" t="str">
        <f t="shared" ref="R195:R258" si="7">IF(ISBLANK(K195),"Missing Data",IF(ISBLANK(M195),"Missing Data",IF(AND(K195&lt;=10,M195&gt;=4),"Low Risk",IF(OR(K195&gt;20,M195&lt;2),"High Risk","Medium Risk"))))</f>
        <v>Missing Data</v>
      </c>
    </row>
    <row r="196" spans="1:18" x14ac:dyDescent="0.35">
      <c r="A196" s="1" t="s">
        <v>322</v>
      </c>
      <c r="B196" s="2">
        <v>45471</v>
      </c>
      <c r="C196" s="1" t="s">
        <v>169</v>
      </c>
      <c r="E196" s="1" t="s">
        <v>32</v>
      </c>
      <c r="G196" s="1" t="s">
        <v>38</v>
      </c>
      <c r="H196" s="1" t="s">
        <v>35</v>
      </c>
      <c r="I196" s="1">
        <v>742.84</v>
      </c>
      <c r="J196" s="1">
        <v>4</v>
      </c>
      <c r="K196" s="1">
        <v>20</v>
      </c>
      <c r="L196" s="1" t="s">
        <v>52</v>
      </c>
      <c r="N196" s="1">
        <v>9</v>
      </c>
      <c r="O196" s="1">
        <v>2377.0880000000002</v>
      </c>
      <c r="P196" cm="1">
        <f t="array" ref="P196">_xlfn.IFS(O196&gt;=3000,20%,O196&gt;=1000,15%,O196&gt;=500,10%,O196&gt;=200,5%,O196&lt;200,0%)</f>
        <v>0.15</v>
      </c>
      <c r="Q196">
        <f t="shared" si="6"/>
        <v>356.56319999999999</v>
      </c>
      <c r="R196" t="str">
        <f t="shared" si="7"/>
        <v>Missing Data</v>
      </c>
    </row>
    <row r="197" spans="1:18" x14ac:dyDescent="0.35">
      <c r="A197" s="1" t="s">
        <v>323</v>
      </c>
      <c r="B197" s="2">
        <v>45404</v>
      </c>
      <c r="C197" s="1" t="s">
        <v>324</v>
      </c>
      <c r="D197" s="1">
        <v>46</v>
      </c>
      <c r="E197" s="1" t="s">
        <v>20</v>
      </c>
      <c r="F197" s="1" t="s">
        <v>21</v>
      </c>
      <c r="G197" s="1" t="s">
        <v>34</v>
      </c>
      <c r="H197" s="1" t="s">
        <v>28</v>
      </c>
      <c r="I197" s="1">
        <v>1050.96</v>
      </c>
      <c r="J197" s="1">
        <v>2</v>
      </c>
      <c r="K197" s="1">
        <v>5</v>
      </c>
      <c r="L197" s="1" t="s">
        <v>43</v>
      </c>
      <c r="M197" s="1">
        <v>1</v>
      </c>
      <c r="N197" s="1">
        <v>2</v>
      </c>
      <c r="O197" s="1">
        <v>1996.8240000000001</v>
      </c>
      <c r="P197" cm="1">
        <f t="array" ref="P197">_xlfn.IFS(O197&gt;=3000,20%,O197&gt;=1000,15%,O197&gt;=500,10%,O197&gt;=200,5%,O197&lt;200,0%)</f>
        <v>0.15</v>
      </c>
      <c r="Q197">
        <f t="shared" si="6"/>
        <v>299.52359999999999</v>
      </c>
      <c r="R197" t="str">
        <f t="shared" si="7"/>
        <v>High Risk</v>
      </c>
    </row>
    <row r="198" spans="1:18" x14ac:dyDescent="0.35">
      <c r="A198" s="1" t="s">
        <v>325</v>
      </c>
      <c r="B198" s="2">
        <v>45609</v>
      </c>
      <c r="C198" s="1" t="s">
        <v>76</v>
      </c>
      <c r="D198" s="1">
        <v>30</v>
      </c>
      <c r="E198" s="1" t="s">
        <v>20</v>
      </c>
      <c r="F198" s="1" t="s">
        <v>46</v>
      </c>
      <c r="G198" s="1" t="s">
        <v>38</v>
      </c>
      <c r="H198" s="1" t="s">
        <v>23</v>
      </c>
      <c r="I198" s="1">
        <v>874.29</v>
      </c>
      <c r="J198" s="1">
        <v>4</v>
      </c>
      <c r="K198" s="1">
        <v>10</v>
      </c>
      <c r="L198" s="1" t="s">
        <v>52</v>
      </c>
      <c r="M198" s="1">
        <v>3</v>
      </c>
      <c r="N198" s="1">
        <v>8</v>
      </c>
      <c r="O198" s="1">
        <v>3147.444</v>
      </c>
      <c r="P198" cm="1">
        <f t="array" ref="P198">_xlfn.IFS(O198&gt;=3000,20%,O198&gt;=1000,15%,O198&gt;=500,10%,O198&gt;=200,5%,O198&lt;200,0%)</f>
        <v>0.2</v>
      </c>
      <c r="Q198">
        <f t="shared" si="6"/>
        <v>629.48880000000008</v>
      </c>
      <c r="R198" t="str">
        <f t="shared" si="7"/>
        <v>Medium Risk</v>
      </c>
    </row>
    <row r="199" spans="1:18" x14ac:dyDescent="0.35">
      <c r="A199" s="1" t="s">
        <v>326</v>
      </c>
      <c r="B199" s="2">
        <v>45343</v>
      </c>
      <c r="C199" s="1" t="s">
        <v>107</v>
      </c>
      <c r="D199" s="1">
        <v>52</v>
      </c>
      <c r="E199" s="1" t="s">
        <v>32</v>
      </c>
      <c r="F199" s="1" t="s">
        <v>46</v>
      </c>
      <c r="G199" s="1" t="s">
        <v>38</v>
      </c>
      <c r="H199" s="1" t="s">
        <v>125</v>
      </c>
      <c r="I199" s="1">
        <v>162.26</v>
      </c>
      <c r="J199" s="1">
        <v>1</v>
      </c>
      <c r="K199" s="1">
        <v>10</v>
      </c>
      <c r="L199" s="1" t="s">
        <v>29</v>
      </c>
      <c r="M199" s="1">
        <v>3</v>
      </c>
      <c r="N199" s="1">
        <v>9</v>
      </c>
      <c r="O199" s="1">
        <v>146.03399999999999</v>
      </c>
      <c r="P199" cm="1">
        <f t="array" ref="P199">_xlfn.IFS(O199&gt;=3000,20%,O199&gt;=1000,15%,O199&gt;=500,10%,O199&gt;=200,5%,O199&lt;200,0%)</f>
        <v>0</v>
      </c>
      <c r="Q199">
        <f t="shared" si="6"/>
        <v>0</v>
      </c>
      <c r="R199" t="str">
        <f t="shared" si="7"/>
        <v>Medium Risk</v>
      </c>
    </row>
    <row r="200" spans="1:18" x14ac:dyDescent="0.35">
      <c r="A200" s="1" t="s">
        <v>327</v>
      </c>
      <c r="B200" s="2">
        <v>45559</v>
      </c>
      <c r="C200" s="1" t="s">
        <v>270</v>
      </c>
      <c r="D200" s="1">
        <v>23</v>
      </c>
      <c r="E200" s="1" t="s">
        <v>20</v>
      </c>
      <c r="F200" s="1" t="s">
        <v>33</v>
      </c>
      <c r="G200" s="1" t="s">
        <v>22</v>
      </c>
      <c r="H200" s="1" t="s">
        <v>48</v>
      </c>
      <c r="I200" s="1">
        <v>1084.8900000000001</v>
      </c>
      <c r="J200" s="1">
        <v>3</v>
      </c>
      <c r="K200" s="1">
        <v>5</v>
      </c>
      <c r="L200" s="1" t="s">
        <v>52</v>
      </c>
      <c r="M200" s="1">
        <v>3</v>
      </c>
      <c r="N200" s="1">
        <v>9</v>
      </c>
      <c r="O200" s="1">
        <v>3091.9364999999998</v>
      </c>
      <c r="P200" cm="1">
        <f t="array" ref="P200">_xlfn.IFS(O200&gt;=3000,20%,O200&gt;=1000,15%,O200&gt;=500,10%,O200&gt;=200,5%,O200&lt;200,0%)</f>
        <v>0.2</v>
      </c>
      <c r="Q200">
        <f t="shared" si="6"/>
        <v>618.38729999999998</v>
      </c>
      <c r="R200" t="str">
        <f t="shared" si="7"/>
        <v>Medium Risk</v>
      </c>
    </row>
    <row r="201" spans="1:18" x14ac:dyDescent="0.35">
      <c r="A201" s="1" t="s">
        <v>328</v>
      </c>
      <c r="B201" s="2">
        <v>45586</v>
      </c>
      <c r="C201" s="1" t="s">
        <v>152</v>
      </c>
      <c r="D201" s="1">
        <v>35</v>
      </c>
      <c r="E201" s="1" t="s">
        <v>32</v>
      </c>
      <c r="F201" s="1" t="s">
        <v>21</v>
      </c>
      <c r="G201" s="1" t="s">
        <v>47</v>
      </c>
      <c r="H201" s="1" t="s">
        <v>125</v>
      </c>
      <c r="I201" s="1">
        <v>98.4</v>
      </c>
      <c r="J201" s="1">
        <v>3</v>
      </c>
      <c r="K201" s="1">
        <v>0</v>
      </c>
      <c r="L201" s="1" t="s">
        <v>52</v>
      </c>
      <c r="M201" s="1">
        <v>1</v>
      </c>
      <c r="N201" s="1">
        <v>9</v>
      </c>
      <c r="O201" s="1">
        <v>295.2</v>
      </c>
      <c r="P201" cm="1">
        <f t="array" ref="P201">_xlfn.IFS(O201&gt;=3000,20%,O201&gt;=1000,15%,O201&gt;=500,10%,O201&gt;=200,5%,O201&lt;200,0%)</f>
        <v>0.05</v>
      </c>
      <c r="Q201">
        <f t="shared" si="6"/>
        <v>14.76</v>
      </c>
      <c r="R201" t="str">
        <f t="shared" si="7"/>
        <v>High Risk</v>
      </c>
    </row>
    <row r="202" spans="1:18" x14ac:dyDescent="0.35">
      <c r="A202" s="1" t="s">
        <v>329</v>
      </c>
      <c r="B202" s="2">
        <v>45404</v>
      </c>
      <c r="C202" s="1" t="s">
        <v>83</v>
      </c>
      <c r="D202" s="1">
        <v>22</v>
      </c>
      <c r="E202" s="1" t="s">
        <v>32</v>
      </c>
      <c r="F202" s="1" t="s">
        <v>33</v>
      </c>
      <c r="G202" s="1" t="s">
        <v>34</v>
      </c>
      <c r="H202" s="1" t="s">
        <v>42</v>
      </c>
      <c r="I202" s="1">
        <v>650.08000000000004</v>
      </c>
      <c r="J202" s="1">
        <v>1</v>
      </c>
      <c r="K202" s="1">
        <v>0</v>
      </c>
      <c r="L202" s="1" t="s">
        <v>29</v>
      </c>
      <c r="M202" s="1">
        <v>5</v>
      </c>
      <c r="N202" s="1">
        <v>2</v>
      </c>
      <c r="O202" s="1">
        <v>650.08000000000004</v>
      </c>
      <c r="P202" cm="1">
        <f t="array" ref="P202">_xlfn.IFS(O202&gt;=3000,20%,O202&gt;=1000,15%,O202&gt;=500,10%,O202&gt;=200,5%,O202&lt;200,0%)</f>
        <v>0.1</v>
      </c>
      <c r="Q202">
        <f t="shared" si="6"/>
        <v>65.00800000000001</v>
      </c>
      <c r="R202" t="str">
        <f t="shared" si="7"/>
        <v>Low Risk</v>
      </c>
    </row>
    <row r="203" spans="1:18" x14ac:dyDescent="0.35">
      <c r="A203" s="1" t="s">
        <v>330</v>
      </c>
      <c r="B203" s="2">
        <v>45392</v>
      </c>
      <c r="C203" s="1" t="s">
        <v>145</v>
      </c>
      <c r="D203" s="1">
        <v>42</v>
      </c>
      <c r="E203" s="1" t="s">
        <v>32</v>
      </c>
      <c r="F203" s="1" t="s">
        <v>21</v>
      </c>
      <c r="G203" s="1" t="s">
        <v>38</v>
      </c>
      <c r="H203" s="1" t="s">
        <v>79</v>
      </c>
      <c r="I203" s="1">
        <v>187.72</v>
      </c>
      <c r="J203" s="1">
        <v>2</v>
      </c>
      <c r="K203" s="1">
        <v>0</v>
      </c>
      <c r="L203" s="1" t="s">
        <v>24</v>
      </c>
      <c r="M203" s="1">
        <v>3</v>
      </c>
      <c r="N203" s="1">
        <v>4</v>
      </c>
      <c r="O203" s="1">
        <v>375.44</v>
      </c>
      <c r="P203" cm="1">
        <f t="array" ref="P203">_xlfn.IFS(O203&gt;=3000,20%,O203&gt;=1000,15%,O203&gt;=500,10%,O203&gt;=200,5%,O203&lt;200,0%)</f>
        <v>0.05</v>
      </c>
      <c r="Q203">
        <f t="shared" si="6"/>
        <v>18.772000000000002</v>
      </c>
      <c r="R203" t="str">
        <f t="shared" si="7"/>
        <v>Medium Risk</v>
      </c>
    </row>
    <row r="204" spans="1:18" x14ac:dyDescent="0.35">
      <c r="A204" s="1" t="s">
        <v>331</v>
      </c>
      <c r="B204" s="2">
        <v>45404</v>
      </c>
      <c r="C204" s="1" t="s">
        <v>122</v>
      </c>
      <c r="D204" s="1">
        <v>19</v>
      </c>
      <c r="E204" s="1" t="s">
        <v>32</v>
      </c>
      <c r="F204" s="1" t="s">
        <v>33</v>
      </c>
      <c r="G204" s="1" t="s">
        <v>22</v>
      </c>
      <c r="H204" s="1" t="s">
        <v>79</v>
      </c>
      <c r="I204" s="1">
        <v>33.81</v>
      </c>
      <c r="J204" s="1">
        <v>2</v>
      </c>
      <c r="K204" s="1">
        <v>10</v>
      </c>
      <c r="L204" s="1" t="s">
        <v>29</v>
      </c>
      <c r="M204" s="1">
        <v>2</v>
      </c>
      <c r="N204" s="1">
        <v>7</v>
      </c>
      <c r="O204" s="1">
        <v>60.857999999999997</v>
      </c>
      <c r="P204" cm="1">
        <f t="array" ref="P204">_xlfn.IFS(O204&gt;=3000,20%,O204&gt;=1000,15%,O204&gt;=500,10%,O204&gt;=200,5%,O204&lt;200,0%)</f>
        <v>0</v>
      </c>
      <c r="Q204">
        <f t="shared" si="6"/>
        <v>0</v>
      </c>
      <c r="R204" t="str">
        <f t="shared" si="7"/>
        <v>Medium Risk</v>
      </c>
    </row>
    <row r="205" spans="1:18" x14ac:dyDescent="0.35">
      <c r="A205" s="1" t="s">
        <v>332</v>
      </c>
      <c r="B205" s="2">
        <v>45372</v>
      </c>
      <c r="C205" s="1" t="s">
        <v>216</v>
      </c>
      <c r="D205" s="1">
        <v>27</v>
      </c>
      <c r="E205" s="1" t="s">
        <v>32</v>
      </c>
      <c r="F205" s="1" t="s">
        <v>46</v>
      </c>
      <c r="G205" s="1" t="s">
        <v>41</v>
      </c>
      <c r="H205" s="1" t="s">
        <v>125</v>
      </c>
      <c r="I205" s="1">
        <v>518</v>
      </c>
      <c r="J205" s="1">
        <v>2</v>
      </c>
      <c r="K205" s="1">
        <v>15</v>
      </c>
      <c r="L205" s="1" t="s">
        <v>29</v>
      </c>
      <c r="M205" s="1">
        <v>3</v>
      </c>
      <c r="N205" s="1">
        <v>2</v>
      </c>
      <c r="O205" s="1">
        <v>880.6</v>
      </c>
      <c r="P205" cm="1">
        <f t="array" ref="P205">_xlfn.IFS(O205&gt;=3000,20%,O205&gt;=1000,15%,O205&gt;=500,10%,O205&gt;=200,5%,O205&lt;200,0%)</f>
        <v>0.1</v>
      </c>
      <c r="Q205">
        <f t="shared" si="6"/>
        <v>88.06</v>
      </c>
      <c r="R205" t="str">
        <f t="shared" si="7"/>
        <v>Medium Risk</v>
      </c>
    </row>
    <row r="206" spans="1:18" x14ac:dyDescent="0.35">
      <c r="A206" s="1" t="s">
        <v>333</v>
      </c>
      <c r="B206" s="2">
        <v>45478</v>
      </c>
      <c r="C206" s="1" t="s">
        <v>83</v>
      </c>
      <c r="D206" s="1">
        <v>47</v>
      </c>
      <c r="E206" s="1" t="s">
        <v>20</v>
      </c>
      <c r="F206" s="1" t="s">
        <v>46</v>
      </c>
      <c r="G206" s="1" t="s">
        <v>34</v>
      </c>
      <c r="H206" s="1" t="s">
        <v>96</v>
      </c>
      <c r="I206" s="1">
        <v>368.15</v>
      </c>
      <c r="J206" s="1">
        <v>1</v>
      </c>
      <c r="K206" s="1">
        <v>10</v>
      </c>
      <c r="L206" s="1" t="s">
        <v>52</v>
      </c>
      <c r="M206" s="1">
        <v>4</v>
      </c>
      <c r="N206" s="1">
        <v>1</v>
      </c>
      <c r="O206" s="1">
        <v>331.33499999999998</v>
      </c>
      <c r="P206" cm="1">
        <f t="array" ref="P206">_xlfn.IFS(O206&gt;=3000,20%,O206&gt;=1000,15%,O206&gt;=500,10%,O206&gt;=200,5%,O206&lt;200,0%)</f>
        <v>0.05</v>
      </c>
      <c r="Q206">
        <f t="shared" si="6"/>
        <v>16.566749999999999</v>
      </c>
      <c r="R206" t="str">
        <f t="shared" si="7"/>
        <v>Low Risk</v>
      </c>
    </row>
    <row r="207" spans="1:18" x14ac:dyDescent="0.35">
      <c r="A207" s="1" t="s">
        <v>334</v>
      </c>
      <c r="B207" s="2">
        <v>45404</v>
      </c>
      <c r="C207" s="1" t="s">
        <v>61</v>
      </c>
      <c r="D207" s="1">
        <v>22</v>
      </c>
      <c r="E207" s="1" t="s">
        <v>20</v>
      </c>
      <c r="F207" s="1" t="s">
        <v>27</v>
      </c>
      <c r="G207" s="1" t="s">
        <v>38</v>
      </c>
      <c r="H207" s="1" t="s">
        <v>55</v>
      </c>
      <c r="I207" s="1">
        <v>593.48</v>
      </c>
      <c r="J207" s="1">
        <v>2</v>
      </c>
      <c r="K207" s="1">
        <v>15</v>
      </c>
      <c r="L207" s="1" t="s">
        <v>24</v>
      </c>
      <c r="M207" s="1">
        <v>3</v>
      </c>
      <c r="N207" s="1">
        <v>3</v>
      </c>
      <c r="O207" s="1">
        <v>1008.9160000000001</v>
      </c>
      <c r="P207" cm="1">
        <f t="array" ref="P207">_xlfn.IFS(O207&gt;=3000,20%,O207&gt;=1000,15%,O207&gt;=500,10%,O207&gt;=200,5%,O207&lt;200,0%)</f>
        <v>0.15</v>
      </c>
      <c r="Q207">
        <f t="shared" si="6"/>
        <v>151.3374</v>
      </c>
      <c r="R207" t="str">
        <f t="shared" si="7"/>
        <v>Medium Risk</v>
      </c>
    </row>
    <row r="208" spans="1:18" x14ac:dyDescent="0.35">
      <c r="A208" s="1" t="s">
        <v>335</v>
      </c>
      <c r="B208" s="2">
        <v>45293</v>
      </c>
      <c r="C208" s="1" t="s">
        <v>233</v>
      </c>
      <c r="D208" s="1">
        <v>50</v>
      </c>
      <c r="E208" s="1" t="s">
        <v>20</v>
      </c>
      <c r="F208" s="1" t="s">
        <v>33</v>
      </c>
      <c r="G208" s="1" t="s">
        <v>47</v>
      </c>
      <c r="H208" s="1" t="s">
        <v>35</v>
      </c>
      <c r="I208" s="1">
        <v>701.1</v>
      </c>
      <c r="J208" s="1">
        <v>1</v>
      </c>
      <c r="K208" s="1">
        <v>5</v>
      </c>
      <c r="L208" s="1" t="s">
        <v>43</v>
      </c>
      <c r="M208" s="1">
        <v>1</v>
      </c>
      <c r="N208" s="1">
        <v>4</v>
      </c>
      <c r="O208" s="1">
        <v>666.04499999999996</v>
      </c>
      <c r="P208" cm="1">
        <f t="array" ref="P208">_xlfn.IFS(O208&gt;=3000,20%,O208&gt;=1000,15%,O208&gt;=500,10%,O208&gt;=200,5%,O208&lt;200,0%)</f>
        <v>0.1</v>
      </c>
      <c r="Q208">
        <f t="shared" si="6"/>
        <v>66.604500000000002</v>
      </c>
      <c r="R208" t="str">
        <f t="shared" si="7"/>
        <v>High Risk</v>
      </c>
    </row>
    <row r="209" spans="1:18" x14ac:dyDescent="0.35">
      <c r="A209" s="1" t="s">
        <v>336</v>
      </c>
      <c r="B209" s="2">
        <v>45421</v>
      </c>
      <c r="C209" s="1" t="s">
        <v>148</v>
      </c>
      <c r="D209" s="1">
        <v>18</v>
      </c>
      <c r="E209" s="1" t="s">
        <v>20</v>
      </c>
      <c r="F209" s="1" t="s">
        <v>51</v>
      </c>
      <c r="G209" s="1" t="s">
        <v>22</v>
      </c>
      <c r="H209" s="1" t="s">
        <v>28</v>
      </c>
      <c r="I209" s="1">
        <v>71.61</v>
      </c>
      <c r="J209" s="1">
        <v>4</v>
      </c>
      <c r="K209" s="1">
        <v>20</v>
      </c>
      <c r="L209" s="1" t="s">
        <v>29</v>
      </c>
      <c r="N209" s="1">
        <v>8</v>
      </c>
      <c r="O209" s="1">
        <v>229.15199999999999</v>
      </c>
      <c r="P209" cm="1">
        <f t="array" ref="P209">_xlfn.IFS(O209&gt;=3000,20%,O209&gt;=1000,15%,O209&gt;=500,10%,O209&gt;=200,5%,O209&lt;200,0%)</f>
        <v>0.05</v>
      </c>
      <c r="Q209">
        <f t="shared" si="6"/>
        <v>11.457599999999999</v>
      </c>
      <c r="R209" t="str">
        <f t="shared" si="7"/>
        <v>Missing Data</v>
      </c>
    </row>
    <row r="210" spans="1:18" x14ac:dyDescent="0.35">
      <c r="A210" s="1" t="s">
        <v>337</v>
      </c>
      <c r="B210" s="2">
        <v>45511</v>
      </c>
      <c r="C210" s="1" t="s">
        <v>26</v>
      </c>
      <c r="D210" s="1">
        <v>35</v>
      </c>
      <c r="E210" s="1" t="s">
        <v>32</v>
      </c>
      <c r="F210" s="1" t="s">
        <v>27</v>
      </c>
      <c r="G210" s="1" t="s">
        <v>38</v>
      </c>
      <c r="H210" s="1" t="s">
        <v>79</v>
      </c>
      <c r="I210" s="1">
        <v>165.14</v>
      </c>
      <c r="J210" s="1">
        <v>4</v>
      </c>
      <c r="K210" s="1">
        <v>15</v>
      </c>
      <c r="L210" s="1" t="s">
        <v>24</v>
      </c>
      <c r="M210" s="1">
        <v>3</v>
      </c>
      <c r="N210" s="1">
        <v>6</v>
      </c>
      <c r="O210" s="1">
        <v>561.476</v>
      </c>
      <c r="P210" cm="1">
        <f t="array" ref="P210">_xlfn.IFS(O210&gt;=3000,20%,O210&gt;=1000,15%,O210&gt;=500,10%,O210&gt;=200,5%,O210&lt;200,0%)</f>
        <v>0.1</v>
      </c>
      <c r="Q210">
        <f t="shared" si="6"/>
        <v>56.147600000000004</v>
      </c>
      <c r="R210" t="str">
        <f t="shared" si="7"/>
        <v>Medium Risk</v>
      </c>
    </row>
    <row r="211" spans="1:18" x14ac:dyDescent="0.35">
      <c r="A211" s="1" t="s">
        <v>338</v>
      </c>
      <c r="B211" s="2">
        <v>45345</v>
      </c>
      <c r="C211" s="1" t="s">
        <v>118</v>
      </c>
      <c r="D211" s="1">
        <v>49</v>
      </c>
      <c r="E211" s="1" t="s">
        <v>32</v>
      </c>
      <c r="F211" s="1" t="s">
        <v>33</v>
      </c>
      <c r="G211" s="1" t="s">
        <v>47</v>
      </c>
      <c r="H211" s="1" t="s">
        <v>125</v>
      </c>
      <c r="I211" s="1">
        <v>679.2</v>
      </c>
      <c r="J211" s="1">
        <v>1</v>
      </c>
      <c r="K211" s="1">
        <v>0</v>
      </c>
      <c r="L211" s="1" t="s">
        <v>29</v>
      </c>
      <c r="N211" s="1">
        <v>2</v>
      </c>
      <c r="O211" s="1">
        <v>679.2</v>
      </c>
      <c r="P211" cm="1">
        <f t="array" ref="P211">_xlfn.IFS(O211&gt;=3000,20%,O211&gt;=1000,15%,O211&gt;=500,10%,O211&gt;=200,5%,O211&lt;200,0%)</f>
        <v>0.1</v>
      </c>
      <c r="Q211">
        <f t="shared" si="6"/>
        <v>67.92</v>
      </c>
      <c r="R211" t="str">
        <f t="shared" si="7"/>
        <v>Missing Data</v>
      </c>
    </row>
    <row r="212" spans="1:18" x14ac:dyDescent="0.35">
      <c r="A212" s="1" t="s">
        <v>339</v>
      </c>
      <c r="B212" s="2">
        <v>45634</v>
      </c>
      <c r="C212" s="1" t="s">
        <v>241</v>
      </c>
      <c r="D212" s="1">
        <v>28</v>
      </c>
      <c r="E212" s="1" t="s">
        <v>32</v>
      </c>
      <c r="F212" s="1" t="s">
        <v>33</v>
      </c>
      <c r="G212" s="1" t="s">
        <v>38</v>
      </c>
      <c r="H212" s="1" t="s">
        <v>125</v>
      </c>
      <c r="I212" s="1">
        <v>424.94</v>
      </c>
      <c r="J212" s="1">
        <v>3</v>
      </c>
      <c r="K212" s="1">
        <v>10</v>
      </c>
      <c r="L212" s="1" t="s">
        <v>29</v>
      </c>
      <c r="M212" s="1">
        <v>4</v>
      </c>
      <c r="N212" s="1">
        <v>9</v>
      </c>
      <c r="O212" s="1">
        <v>1147.338</v>
      </c>
      <c r="P212" cm="1">
        <f t="array" ref="P212">_xlfn.IFS(O212&gt;=3000,20%,O212&gt;=1000,15%,O212&gt;=500,10%,O212&gt;=200,5%,O212&lt;200,0%)</f>
        <v>0.15</v>
      </c>
      <c r="Q212">
        <f t="shared" si="6"/>
        <v>172.10069999999999</v>
      </c>
      <c r="R212" t="str">
        <f t="shared" si="7"/>
        <v>Low Risk</v>
      </c>
    </row>
    <row r="213" spans="1:18" x14ac:dyDescent="0.35">
      <c r="A213" s="1" t="s">
        <v>340</v>
      </c>
      <c r="B213" s="2">
        <v>45515</v>
      </c>
      <c r="C213" s="1" t="s">
        <v>201</v>
      </c>
      <c r="D213" s="1">
        <v>38</v>
      </c>
      <c r="E213" s="1" t="s">
        <v>32</v>
      </c>
      <c r="F213" s="1" t="s">
        <v>27</v>
      </c>
      <c r="G213" s="1" t="s">
        <v>34</v>
      </c>
      <c r="H213" s="1" t="s">
        <v>55</v>
      </c>
      <c r="I213" s="1">
        <v>880.42</v>
      </c>
      <c r="J213" s="1">
        <v>4</v>
      </c>
      <c r="K213" s="1">
        <v>5</v>
      </c>
      <c r="L213" s="1" t="s">
        <v>29</v>
      </c>
      <c r="M213" s="1">
        <v>2</v>
      </c>
      <c r="N213" s="1">
        <v>2</v>
      </c>
      <c r="O213" s="1">
        <v>3345.596</v>
      </c>
      <c r="P213" cm="1">
        <f t="array" ref="P213">_xlfn.IFS(O213&gt;=3000,20%,O213&gt;=1000,15%,O213&gt;=500,10%,O213&gt;=200,5%,O213&lt;200,0%)</f>
        <v>0.2</v>
      </c>
      <c r="Q213">
        <f t="shared" si="6"/>
        <v>669.11920000000009</v>
      </c>
      <c r="R213" t="str">
        <f t="shared" si="7"/>
        <v>Medium Risk</v>
      </c>
    </row>
    <row r="214" spans="1:18" x14ac:dyDescent="0.35">
      <c r="A214" s="1" t="s">
        <v>341</v>
      </c>
      <c r="B214" s="2">
        <v>45516</v>
      </c>
      <c r="C214" s="1" t="s">
        <v>225</v>
      </c>
      <c r="D214" s="1">
        <v>43</v>
      </c>
      <c r="E214" s="1" t="s">
        <v>20</v>
      </c>
      <c r="F214" s="1" t="s">
        <v>46</v>
      </c>
      <c r="G214" s="1" t="s">
        <v>34</v>
      </c>
      <c r="H214" s="1" t="s">
        <v>55</v>
      </c>
      <c r="I214" s="1">
        <v>789.7</v>
      </c>
      <c r="J214" s="1">
        <v>2</v>
      </c>
      <c r="K214" s="1">
        <v>0</v>
      </c>
      <c r="L214" s="1" t="s">
        <v>29</v>
      </c>
      <c r="N214" s="1">
        <v>5</v>
      </c>
      <c r="O214" s="1">
        <v>1579.4</v>
      </c>
      <c r="P214" cm="1">
        <f t="array" ref="P214">_xlfn.IFS(O214&gt;=3000,20%,O214&gt;=1000,15%,O214&gt;=500,10%,O214&gt;=200,5%,O214&lt;200,0%)</f>
        <v>0.15</v>
      </c>
      <c r="Q214">
        <f t="shared" si="6"/>
        <v>236.91</v>
      </c>
      <c r="R214" t="str">
        <f t="shared" si="7"/>
        <v>Missing Data</v>
      </c>
    </row>
    <row r="215" spans="1:18" x14ac:dyDescent="0.35">
      <c r="A215" s="1" t="s">
        <v>342</v>
      </c>
      <c r="B215" s="2">
        <v>45417</v>
      </c>
      <c r="C215" s="1" t="s">
        <v>285</v>
      </c>
      <c r="D215" s="1">
        <v>42</v>
      </c>
      <c r="E215" s="1" t="s">
        <v>32</v>
      </c>
      <c r="F215" s="1" t="s">
        <v>33</v>
      </c>
      <c r="G215" s="1" t="s">
        <v>34</v>
      </c>
      <c r="H215" s="1" t="s">
        <v>64</v>
      </c>
      <c r="I215" s="1">
        <v>1017.81</v>
      </c>
      <c r="J215" s="1">
        <v>1</v>
      </c>
      <c r="K215" s="1">
        <v>5</v>
      </c>
      <c r="L215" s="1" t="s">
        <v>52</v>
      </c>
      <c r="M215" s="1">
        <v>5</v>
      </c>
      <c r="N215" s="1">
        <v>4</v>
      </c>
      <c r="O215" s="1">
        <v>966.91949999999997</v>
      </c>
      <c r="P215" cm="1">
        <f t="array" ref="P215">_xlfn.IFS(O215&gt;=3000,20%,O215&gt;=1000,15%,O215&gt;=500,10%,O215&gt;=200,5%,O215&lt;200,0%)</f>
        <v>0.1</v>
      </c>
      <c r="Q215">
        <f t="shared" si="6"/>
        <v>96.691950000000006</v>
      </c>
      <c r="R215" t="str">
        <f t="shared" si="7"/>
        <v>Low Risk</v>
      </c>
    </row>
    <row r="216" spans="1:18" x14ac:dyDescent="0.35">
      <c r="A216" s="1" t="s">
        <v>343</v>
      </c>
      <c r="B216" s="2">
        <v>45421</v>
      </c>
      <c r="C216" s="1" t="s">
        <v>140</v>
      </c>
      <c r="D216" s="1">
        <v>39</v>
      </c>
      <c r="E216" s="1" t="s">
        <v>32</v>
      </c>
      <c r="F216" s="1" t="s">
        <v>46</v>
      </c>
      <c r="G216" s="1" t="s">
        <v>22</v>
      </c>
      <c r="H216" s="1" t="s">
        <v>64</v>
      </c>
      <c r="I216" s="1">
        <v>837.14</v>
      </c>
      <c r="J216" s="1">
        <v>2</v>
      </c>
      <c r="K216" s="1">
        <v>20</v>
      </c>
      <c r="L216" s="1" t="s">
        <v>24</v>
      </c>
      <c r="M216" s="1">
        <v>3</v>
      </c>
      <c r="N216" s="1">
        <v>7</v>
      </c>
      <c r="O216" s="1">
        <v>1339.424</v>
      </c>
      <c r="P216" cm="1">
        <f t="array" ref="P216">_xlfn.IFS(O216&gt;=3000,20%,O216&gt;=1000,15%,O216&gt;=500,10%,O216&gt;=200,5%,O216&lt;200,0%)</f>
        <v>0.15</v>
      </c>
      <c r="Q216">
        <f t="shared" si="6"/>
        <v>200.9136</v>
      </c>
      <c r="R216" t="str">
        <f t="shared" si="7"/>
        <v>Medium Risk</v>
      </c>
    </row>
    <row r="217" spans="1:18" x14ac:dyDescent="0.35">
      <c r="A217" s="1" t="s">
        <v>344</v>
      </c>
      <c r="B217" s="2">
        <v>45344</v>
      </c>
      <c r="C217" s="1" t="s">
        <v>278</v>
      </c>
      <c r="D217" s="1">
        <v>44</v>
      </c>
      <c r="E217" s="1" t="s">
        <v>20</v>
      </c>
      <c r="F217" s="1" t="s">
        <v>27</v>
      </c>
      <c r="G217" s="1" t="s">
        <v>34</v>
      </c>
      <c r="H217" s="1" t="s">
        <v>96</v>
      </c>
      <c r="I217" s="1">
        <v>527.32000000000005</v>
      </c>
      <c r="J217" s="1">
        <v>2</v>
      </c>
      <c r="K217" s="1">
        <v>10</v>
      </c>
      <c r="L217" s="1" t="s">
        <v>24</v>
      </c>
      <c r="M217" s="1">
        <v>4</v>
      </c>
      <c r="N217" s="1">
        <v>8</v>
      </c>
      <c r="O217" s="1">
        <v>949.17600000000004</v>
      </c>
      <c r="P217" cm="1">
        <f t="array" ref="P217">_xlfn.IFS(O217&gt;=3000,20%,O217&gt;=1000,15%,O217&gt;=500,10%,O217&gt;=200,5%,O217&lt;200,0%)</f>
        <v>0.1</v>
      </c>
      <c r="Q217">
        <f t="shared" si="6"/>
        <v>94.917600000000007</v>
      </c>
      <c r="R217" t="str">
        <f t="shared" si="7"/>
        <v>Low Risk</v>
      </c>
    </row>
    <row r="218" spans="1:18" x14ac:dyDescent="0.35">
      <c r="A218" s="1" t="s">
        <v>345</v>
      </c>
      <c r="B218" s="2">
        <v>45463</v>
      </c>
      <c r="C218" s="1" t="s">
        <v>241</v>
      </c>
      <c r="D218" s="1">
        <v>30</v>
      </c>
      <c r="E218" s="1" t="s">
        <v>20</v>
      </c>
      <c r="F218" s="1" t="s">
        <v>46</v>
      </c>
      <c r="G218" s="1" t="s">
        <v>47</v>
      </c>
      <c r="H218" s="1" t="s">
        <v>96</v>
      </c>
      <c r="I218" s="1">
        <v>814.1</v>
      </c>
      <c r="J218" s="1">
        <v>3</v>
      </c>
      <c r="K218" s="1">
        <v>10</v>
      </c>
      <c r="L218" s="1" t="s">
        <v>24</v>
      </c>
      <c r="M218" s="1">
        <v>4</v>
      </c>
      <c r="N218" s="1">
        <v>5</v>
      </c>
      <c r="O218" s="1">
        <v>2198.0700000000002</v>
      </c>
      <c r="P218" cm="1">
        <f t="array" ref="P218">_xlfn.IFS(O218&gt;=3000,20%,O218&gt;=1000,15%,O218&gt;=500,10%,O218&gt;=200,5%,O218&lt;200,0%)</f>
        <v>0.15</v>
      </c>
      <c r="Q218">
        <f t="shared" si="6"/>
        <v>329.71050000000002</v>
      </c>
      <c r="R218" t="str">
        <f t="shared" si="7"/>
        <v>Low Risk</v>
      </c>
    </row>
    <row r="219" spans="1:18" x14ac:dyDescent="0.35">
      <c r="A219" s="1" t="s">
        <v>346</v>
      </c>
      <c r="B219" s="2">
        <v>45509</v>
      </c>
      <c r="C219" s="1" t="s">
        <v>216</v>
      </c>
      <c r="D219" s="1">
        <v>50</v>
      </c>
      <c r="E219" s="1" t="s">
        <v>20</v>
      </c>
      <c r="F219" s="1" t="s">
        <v>21</v>
      </c>
      <c r="G219" s="1" t="s">
        <v>38</v>
      </c>
      <c r="H219" s="1" t="s">
        <v>42</v>
      </c>
      <c r="I219" s="1">
        <v>344.95</v>
      </c>
      <c r="J219" s="1">
        <v>2</v>
      </c>
      <c r="K219" s="1">
        <v>20</v>
      </c>
      <c r="L219" s="1" t="s">
        <v>29</v>
      </c>
      <c r="N219" s="1">
        <v>5</v>
      </c>
      <c r="O219" s="1">
        <v>551.91999999999996</v>
      </c>
      <c r="P219" cm="1">
        <f t="array" ref="P219">_xlfn.IFS(O219&gt;=3000,20%,O219&gt;=1000,15%,O219&gt;=500,10%,O219&gt;=200,5%,O219&lt;200,0%)</f>
        <v>0.1</v>
      </c>
      <c r="Q219">
        <f t="shared" si="6"/>
        <v>55.192</v>
      </c>
      <c r="R219" t="str">
        <f t="shared" si="7"/>
        <v>Missing Data</v>
      </c>
    </row>
    <row r="220" spans="1:18" x14ac:dyDescent="0.35">
      <c r="A220" s="1" t="s">
        <v>347</v>
      </c>
      <c r="B220" s="2">
        <v>45451</v>
      </c>
      <c r="C220" s="1" t="s">
        <v>348</v>
      </c>
      <c r="D220" s="1">
        <v>51</v>
      </c>
      <c r="E220" s="1" t="s">
        <v>20</v>
      </c>
      <c r="F220" s="1" t="s">
        <v>51</v>
      </c>
      <c r="G220" s="1" t="s">
        <v>41</v>
      </c>
      <c r="H220" s="1" t="s">
        <v>96</v>
      </c>
      <c r="I220" s="1">
        <v>381.45</v>
      </c>
      <c r="J220" s="1">
        <v>3</v>
      </c>
      <c r="K220" s="1">
        <v>10</v>
      </c>
      <c r="L220" s="1" t="s">
        <v>52</v>
      </c>
      <c r="M220" s="1">
        <v>2</v>
      </c>
      <c r="N220" s="1">
        <v>2</v>
      </c>
      <c r="O220" s="1">
        <v>1029.915</v>
      </c>
      <c r="P220" cm="1">
        <f t="array" ref="P220">_xlfn.IFS(O220&gt;=3000,20%,O220&gt;=1000,15%,O220&gt;=500,10%,O220&gt;=200,5%,O220&lt;200,0%)</f>
        <v>0.15</v>
      </c>
      <c r="Q220">
        <f t="shared" si="6"/>
        <v>154.48724999999999</v>
      </c>
      <c r="R220" t="str">
        <f t="shared" si="7"/>
        <v>Medium Risk</v>
      </c>
    </row>
    <row r="221" spans="1:18" x14ac:dyDescent="0.35">
      <c r="A221" s="1" t="s">
        <v>349</v>
      </c>
      <c r="B221" s="2">
        <v>45489</v>
      </c>
      <c r="C221" s="1" t="s">
        <v>289</v>
      </c>
      <c r="D221" s="1">
        <v>58</v>
      </c>
      <c r="E221" s="1" t="s">
        <v>32</v>
      </c>
      <c r="F221" s="1" t="s">
        <v>33</v>
      </c>
      <c r="G221" s="1" t="s">
        <v>47</v>
      </c>
      <c r="H221" s="1" t="s">
        <v>23</v>
      </c>
      <c r="I221" s="1">
        <v>951</v>
      </c>
      <c r="J221" s="1">
        <v>4</v>
      </c>
      <c r="K221" s="1">
        <v>15</v>
      </c>
      <c r="L221" s="1" t="s">
        <v>29</v>
      </c>
      <c r="M221" s="1">
        <v>1</v>
      </c>
      <c r="N221" s="1">
        <v>8</v>
      </c>
      <c r="O221" s="1">
        <v>3233.4</v>
      </c>
      <c r="P221" cm="1">
        <f t="array" ref="P221">_xlfn.IFS(O221&gt;=3000,20%,O221&gt;=1000,15%,O221&gt;=500,10%,O221&gt;=200,5%,O221&lt;200,0%)</f>
        <v>0.2</v>
      </c>
      <c r="Q221">
        <f t="shared" si="6"/>
        <v>646.68000000000006</v>
      </c>
      <c r="R221" t="str">
        <f t="shared" si="7"/>
        <v>High Risk</v>
      </c>
    </row>
    <row r="222" spans="1:18" x14ac:dyDescent="0.35">
      <c r="A222" s="1" t="s">
        <v>350</v>
      </c>
      <c r="B222" s="2">
        <v>45538</v>
      </c>
      <c r="C222" s="1" t="s">
        <v>156</v>
      </c>
      <c r="D222" s="1">
        <v>52</v>
      </c>
      <c r="E222" s="1" t="s">
        <v>32</v>
      </c>
      <c r="F222" s="1" t="s">
        <v>51</v>
      </c>
      <c r="G222" s="1" t="s">
        <v>47</v>
      </c>
      <c r="H222" s="1" t="s">
        <v>55</v>
      </c>
      <c r="I222" s="1">
        <v>546.78</v>
      </c>
      <c r="J222" s="1">
        <v>1</v>
      </c>
      <c r="K222" s="1">
        <v>5</v>
      </c>
      <c r="L222" s="1" t="s">
        <v>29</v>
      </c>
      <c r="M222" s="1">
        <v>3</v>
      </c>
      <c r="N222" s="1">
        <v>2</v>
      </c>
      <c r="O222" s="1">
        <v>519.44100000000003</v>
      </c>
      <c r="P222" cm="1">
        <f t="array" ref="P222">_xlfn.IFS(O222&gt;=3000,20%,O222&gt;=1000,15%,O222&gt;=500,10%,O222&gt;=200,5%,O222&lt;200,0%)</f>
        <v>0.1</v>
      </c>
      <c r="Q222">
        <f t="shared" si="6"/>
        <v>51.944100000000006</v>
      </c>
      <c r="R222" t="str">
        <f t="shared" si="7"/>
        <v>Medium Risk</v>
      </c>
    </row>
    <row r="223" spans="1:18" x14ac:dyDescent="0.35">
      <c r="A223" s="1" t="s">
        <v>351</v>
      </c>
      <c r="B223" s="2">
        <v>45615</v>
      </c>
      <c r="C223" s="1" t="s">
        <v>352</v>
      </c>
      <c r="D223" s="1">
        <v>18</v>
      </c>
      <c r="E223" s="1" t="s">
        <v>20</v>
      </c>
      <c r="F223" s="1" t="s">
        <v>46</v>
      </c>
      <c r="G223" s="1" t="s">
        <v>34</v>
      </c>
      <c r="H223" s="1" t="s">
        <v>28</v>
      </c>
      <c r="I223" s="1">
        <v>962.09</v>
      </c>
      <c r="J223" s="1">
        <v>2</v>
      </c>
      <c r="K223" s="1">
        <v>0</v>
      </c>
      <c r="L223" s="1" t="s">
        <v>24</v>
      </c>
      <c r="M223" s="1">
        <v>4</v>
      </c>
      <c r="N223" s="1">
        <v>6</v>
      </c>
      <c r="O223" s="1">
        <v>1924.18</v>
      </c>
      <c r="P223" cm="1">
        <f t="array" ref="P223">_xlfn.IFS(O223&gt;=3000,20%,O223&gt;=1000,15%,O223&gt;=500,10%,O223&gt;=200,5%,O223&lt;200,0%)</f>
        <v>0.15</v>
      </c>
      <c r="Q223">
        <f t="shared" si="6"/>
        <v>288.62700000000001</v>
      </c>
      <c r="R223" t="str">
        <f t="shared" si="7"/>
        <v>Low Risk</v>
      </c>
    </row>
    <row r="224" spans="1:18" x14ac:dyDescent="0.35">
      <c r="A224" s="1" t="s">
        <v>353</v>
      </c>
      <c r="B224" s="2">
        <v>45494</v>
      </c>
      <c r="C224" s="1" t="s">
        <v>354</v>
      </c>
      <c r="D224" s="1">
        <v>38</v>
      </c>
      <c r="E224" s="1" t="s">
        <v>32</v>
      </c>
      <c r="F224" s="1" t="s">
        <v>33</v>
      </c>
      <c r="G224" s="1" t="s">
        <v>22</v>
      </c>
      <c r="H224" s="1" t="s">
        <v>23</v>
      </c>
      <c r="I224" s="1">
        <v>990.46</v>
      </c>
      <c r="J224" s="1">
        <v>1</v>
      </c>
      <c r="K224" s="1">
        <v>20</v>
      </c>
      <c r="L224" s="1" t="s">
        <v>29</v>
      </c>
      <c r="M224" s="1">
        <v>2</v>
      </c>
      <c r="N224" s="1">
        <v>8</v>
      </c>
      <c r="O224" s="1">
        <v>792.36800000000005</v>
      </c>
      <c r="P224" cm="1">
        <f t="array" ref="P224">_xlfn.IFS(O224&gt;=3000,20%,O224&gt;=1000,15%,O224&gt;=500,10%,O224&gt;=200,5%,O224&lt;200,0%)</f>
        <v>0.1</v>
      </c>
      <c r="Q224">
        <f t="shared" si="6"/>
        <v>79.236800000000017</v>
      </c>
      <c r="R224" t="str">
        <f t="shared" si="7"/>
        <v>Medium Risk</v>
      </c>
    </row>
    <row r="225" spans="1:18" x14ac:dyDescent="0.35">
      <c r="A225" s="1" t="s">
        <v>355</v>
      </c>
      <c r="B225" s="2">
        <v>45475</v>
      </c>
      <c r="C225" s="1" t="s">
        <v>102</v>
      </c>
      <c r="D225" s="1">
        <v>23</v>
      </c>
      <c r="E225" s="1" t="s">
        <v>32</v>
      </c>
      <c r="F225" s="1" t="s">
        <v>46</v>
      </c>
      <c r="G225" s="1" t="s">
        <v>38</v>
      </c>
      <c r="H225" s="1" t="s">
        <v>35</v>
      </c>
      <c r="I225" s="1">
        <v>1031.92</v>
      </c>
      <c r="J225" s="1">
        <v>2</v>
      </c>
      <c r="K225" s="1">
        <v>15</v>
      </c>
      <c r="L225" s="1" t="s">
        <v>43</v>
      </c>
      <c r="M225" s="1">
        <v>5</v>
      </c>
      <c r="N225" s="1">
        <v>6</v>
      </c>
      <c r="O225" s="1">
        <v>1754.2639999999999</v>
      </c>
      <c r="P225" cm="1">
        <f t="array" ref="P225">_xlfn.IFS(O225&gt;=3000,20%,O225&gt;=1000,15%,O225&gt;=500,10%,O225&gt;=200,5%,O225&lt;200,0%)</f>
        <v>0.15</v>
      </c>
      <c r="Q225">
        <f t="shared" si="6"/>
        <v>263.13959999999997</v>
      </c>
      <c r="R225" t="str">
        <f t="shared" si="7"/>
        <v>Medium Risk</v>
      </c>
    </row>
    <row r="226" spans="1:18" x14ac:dyDescent="0.35">
      <c r="A226" s="1" t="s">
        <v>356</v>
      </c>
      <c r="B226" s="2">
        <v>45414</v>
      </c>
      <c r="C226" s="1" t="s">
        <v>167</v>
      </c>
      <c r="D226" s="1">
        <v>45</v>
      </c>
      <c r="E226" s="1" t="s">
        <v>32</v>
      </c>
      <c r="F226" s="1" t="s">
        <v>21</v>
      </c>
      <c r="G226" s="1" t="s">
        <v>22</v>
      </c>
      <c r="H226" s="1" t="s">
        <v>125</v>
      </c>
      <c r="I226" s="1">
        <v>1101.6300000000001</v>
      </c>
      <c r="J226" s="1">
        <v>1</v>
      </c>
      <c r="K226" s="1">
        <v>0</v>
      </c>
      <c r="L226" s="1" t="s">
        <v>29</v>
      </c>
      <c r="M226" s="1">
        <v>4</v>
      </c>
      <c r="N226" s="1">
        <v>4</v>
      </c>
      <c r="O226" s="1">
        <v>1101.6300000000001</v>
      </c>
      <c r="P226" cm="1">
        <f t="array" ref="P226">_xlfn.IFS(O226&gt;=3000,20%,O226&gt;=1000,15%,O226&gt;=500,10%,O226&gt;=200,5%,O226&lt;200,0%)</f>
        <v>0.15</v>
      </c>
      <c r="Q226">
        <f t="shared" si="6"/>
        <v>165.24450000000002</v>
      </c>
      <c r="R226" t="str">
        <f t="shared" si="7"/>
        <v>Low Risk</v>
      </c>
    </row>
    <row r="227" spans="1:18" x14ac:dyDescent="0.35">
      <c r="A227" s="1" t="s">
        <v>357</v>
      </c>
      <c r="B227" s="2">
        <v>45546</v>
      </c>
      <c r="C227" s="1" t="s">
        <v>358</v>
      </c>
      <c r="D227" s="1">
        <v>34</v>
      </c>
      <c r="E227" s="1" t="s">
        <v>20</v>
      </c>
      <c r="F227" s="1" t="s">
        <v>27</v>
      </c>
      <c r="G227" s="1" t="s">
        <v>38</v>
      </c>
      <c r="H227" s="1" t="s">
        <v>96</v>
      </c>
      <c r="I227" s="1">
        <v>528.55999999999995</v>
      </c>
      <c r="J227" s="1">
        <v>2</v>
      </c>
      <c r="K227" s="1">
        <v>0</v>
      </c>
      <c r="L227" s="1" t="s">
        <v>43</v>
      </c>
      <c r="M227" s="1">
        <v>2</v>
      </c>
      <c r="N227" s="1">
        <v>4</v>
      </c>
      <c r="O227" s="1">
        <v>1057.1199999999999</v>
      </c>
      <c r="P227" cm="1">
        <f t="array" ref="P227">_xlfn.IFS(O227&gt;=3000,20%,O227&gt;=1000,15%,O227&gt;=500,10%,O227&gt;=200,5%,O227&lt;200,0%)</f>
        <v>0.15</v>
      </c>
      <c r="Q227">
        <f t="shared" si="6"/>
        <v>158.56799999999998</v>
      </c>
      <c r="R227" t="str">
        <f t="shared" si="7"/>
        <v>Medium Risk</v>
      </c>
    </row>
    <row r="228" spans="1:18" x14ac:dyDescent="0.35">
      <c r="A228" s="1" t="s">
        <v>359</v>
      </c>
      <c r="B228" s="2">
        <v>45585</v>
      </c>
      <c r="C228" s="1" t="s">
        <v>59</v>
      </c>
      <c r="D228" s="1">
        <v>22</v>
      </c>
      <c r="E228" s="1" t="s">
        <v>32</v>
      </c>
      <c r="F228" s="1" t="s">
        <v>33</v>
      </c>
      <c r="G228" s="1" t="s">
        <v>38</v>
      </c>
      <c r="H228" s="1" t="s">
        <v>125</v>
      </c>
      <c r="I228" s="1">
        <v>396.26</v>
      </c>
      <c r="J228" s="1">
        <v>2</v>
      </c>
      <c r="K228" s="1">
        <v>20</v>
      </c>
      <c r="L228" s="1" t="s">
        <v>29</v>
      </c>
      <c r="M228" s="1">
        <v>1</v>
      </c>
      <c r="N228" s="1">
        <v>6</v>
      </c>
      <c r="O228" s="1">
        <v>634.01599999999996</v>
      </c>
      <c r="P228" cm="1">
        <f t="array" ref="P228">_xlfn.IFS(O228&gt;=3000,20%,O228&gt;=1000,15%,O228&gt;=500,10%,O228&gt;=200,5%,O228&lt;200,0%)</f>
        <v>0.1</v>
      </c>
      <c r="Q228">
        <f t="shared" si="6"/>
        <v>63.401600000000002</v>
      </c>
      <c r="R228" t="str">
        <f t="shared" si="7"/>
        <v>High Risk</v>
      </c>
    </row>
    <row r="229" spans="1:18" x14ac:dyDescent="0.35">
      <c r="A229" s="1" t="s">
        <v>360</v>
      </c>
      <c r="B229" s="2">
        <v>45571</v>
      </c>
      <c r="C229" s="1" t="s">
        <v>158</v>
      </c>
      <c r="D229" s="1">
        <v>48</v>
      </c>
      <c r="E229" s="1" t="s">
        <v>20</v>
      </c>
      <c r="F229" s="1" t="s">
        <v>21</v>
      </c>
      <c r="G229" s="1" t="s">
        <v>22</v>
      </c>
      <c r="H229" s="1" t="s">
        <v>79</v>
      </c>
      <c r="I229" s="1">
        <v>706.99</v>
      </c>
      <c r="J229" s="1">
        <v>2</v>
      </c>
      <c r="K229" s="1">
        <v>15</v>
      </c>
      <c r="L229" s="1" t="s">
        <v>52</v>
      </c>
      <c r="M229" s="1">
        <v>1</v>
      </c>
      <c r="N229" s="1">
        <v>4</v>
      </c>
      <c r="O229" s="1">
        <v>1201.883</v>
      </c>
      <c r="P229" cm="1">
        <f t="array" ref="P229">_xlfn.IFS(O229&gt;=3000,20%,O229&gt;=1000,15%,O229&gt;=500,10%,O229&gt;=200,5%,O229&lt;200,0%)</f>
        <v>0.15</v>
      </c>
      <c r="Q229">
        <f t="shared" si="6"/>
        <v>180.28245000000001</v>
      </c>
      <c r="R229" t="str">
        <f t="shared" si="7"/>
        <v>High Risk</v>
      </c>
    </row>
    <row r="230" spans="1:18" x14ac:dyDescent="0.35">
      <c r="A230" s="1" t="s">
        <v>361</v>
      </c>
      <c r="B230" s="2">
        <v>45616</v>
      </c>
      <c r="C230" s="1" t="s">
        <v>134</v>
      </c>
      <c r="D230" s="1">
        <v>22</v>
      </c>
      <c r="E230" s="1" t="s">
        <v>32</v>
      </c>
      <c r="F230" s="1" t="s">
        <v>21</v>
      </c>
      <c r="G230" s="1" t="s">
        <v>47</v>
      </c>
      <c r="H230" s="1" t="s">
        <v>42</v>
      </c>
      <c r="I230" s="1">
        <v>457.98</v>
      </c>
      <c r="J230" s="1">
        <v>2</v>
      </c>
      <c r="K230" s="1">
        <v>0</v>
      </c>
      <c r="L230" s="1" t="s">
        <v>52</v>
      </c>
      <c r="M230" s="1">
        <v>4</v>
      </c>
      <c r="N230" s="1">
        <v>8</v>
      </c>
      <c r="O230" s="1">
        <v>915.96</v>
      </c>
      <c r="P230" cm="1">
        <f t="array" ref="P230">_xlfn.IFS(O230&gt;=3000,20%,O230&gt;=1000,15%,O230&gt;=500,10%,O230&gt;=200,5%,O230&lt;200,0%)</f>
        <v>0.1</v>
      </c>
      <c r="Q230">
        <f t="shared" si="6"/>
        <v>91.596000000000004</v>
      </c>
      <c r="R230" t="str">
        <f t="shared" si="7"/>
        <v>Low Risk</v>
      </c>
    </row>
    <row r="231" spans="1:18" x14ac:dyDescent="0.35">
      <c r="A231" s="1" t="s">
        <v>362</v>
      </c>
      <c r="B231" s="2">
        <v>45389</v>
      </c>
      <c r="C231" s="1" t="s">
        <v>137</v>
      </c>
      <c r="D231" s="1">
        <v>55</v>
      </c>
      <c r="E231" s="1" t="s">
        <v>32</v>
      </c>
      <c r="F231" s="1" t="s">
        <v>33</v>
      </c>
      <c r="G231" s="1" t="s">
        <v>38</v>
      </c>
      <c r="H231" s="1" t="s">
        <v>79</v>
      </c>
      <c r="I231" s="1">
        <v>729.27</v>
      </c>
      <c r="J231" s="1">
        <v>2</v>
      </c>
      <c r="K231" s="1">
        <v>0</v>
      </c>
      <c r="L231" s="1" t="s">
        <v>24</v>
      </c>
      <c r="M231" s="1">
        <v>4</v>
      </c>
      <c r="N231" s="1">
        <v>9</v>
      </c>
      <c r="O231" s="1">
        <v>1458.54</v>
      </c>
      <c r="P231" cm="1">
        <f t="array" ref="P231">_xlfn.IFS(O231&gt;=3000,20%,O231&gt;=1000,15%,O231&gt;=500,10%,O231&gt;=200,5%,O231&lt;200,0%)</f>
        <v>0.15</v>
      </c>
      <c r="Q231">
        <f t="shared" si="6"/>
        <v>218.78099999999998</v>
      </c>
      <c r="R231" t="str">
        <f t="shared" si="7"/>
        <v>Low Risk</v>
      </c>
    </row>
    <row r="232" spans="1:18" x14ac:dyDescent="0.35">
      <c r="A232" s="1" t="s">
        <v>363</v>
      </c>
      <c r="B232" s="2">
        <v>45489</v>
      </c>
      <c r="C232" s="1" t="s">
        <v>324</v>
      </c>
      <c r="D232" s="1">
        <v>20</v>
      </c>
      <c r="E232" s="1" t="s">
        <v>32</v>
      </c>
      <c r="F232" s="1" t="s">
        <v>46</v>
      </c>
      <c r="G232" s="1" t="s">
        <v>22</v>
      </c>
      <c r="H232" s="1" t="s">
        <v>42</v>
      </c>
      <c r="I232" s="1">
        <v>852.59</v>
      </c>
      <c r="J232" s="1">
        <v>2</v>
      </c>
      <c r="K232" s="1">
        <v>15</v>
      </c>
      <c r="L232" s="1" t="s">
        <v>29</v>
      </c>
      <c r="N232" s="1">
        <v>1</v>
      </c>
      <c r="O232" s="1">
        <v>1449.403</v>
      </c>
      <c r="P232" cm="1">
        <f t="array" ref="P232">_xlfn.IFS(O232&gt;=3000,20%,O232&gt;=1000,15%,O232&gt;=500,10%,O232&gt;=200,5%,O232&lt;200,0%)</f>
        <v>0.15</v>
      </c>
      <c r="Q232">
        <f t="shared" si="6"/>
        <v>217.41045</v>
      </c>
      <c r="R232" t="str">
        <f t="shared" si="7"/>
        <v>Missing Data</v>
      </c>
    </row>
    <row r="233" spans="1:18" x14ac:dyDescent="0.35">
      <c r="A233" s="1" t="s">
        <v>364</v>
      </c>
      <c r="B233" s="2">
        <v>45531</v>
      </c>
      <c r="C233" s="1" t="s">
        <v>74</v>
      </c>
      <c r="D233" s="1">
        <v>40</v>
      </c>
      <c r="E233" s="1" t="s">
        <v>20</v>
      </c>
      <c r="F233" s="1" t="s">
        <v>21</v>
      </c>
      <c r="G233" s="1" t="s">
        <v>38</v>
      </c>
      <c r="H233" s="1" t="s">
        <v>64</v>
      </c>
      <c r="I233" s="1">
        <v>832.32</v>
      </c>
      <c r="J233" s="1">
        <v>2</v>
      </c>
      <c r="K233" s="1">
        <v>10</v>
      </c>
      <c r="L233" s="1" t="s">
        <v>43</v>
      </c>
      <c r="M233" s="1">
        <v>3</v>
      </c>
      <c r="N233" s="1">
        <v>4</v>
      </c>
      <c r="O233" s="1">
        <v>1498.1759999999999</v>
      </c>
      <c r="P233" cm="1">
        <f t="array" ref="P233">_xlfn.IFS(O233&gt;=3000,20%,O233&gt;=1000,15%,O233&gt;=500,10%,O233&gt;=200,5%,O233&lt;200,0%)</f>
        <v>0.15</v>
      </c>
      <c r="Q233">
        <f t="shared" si="6"/>
        <v>224.72639999999998</v>
      </c>
      <c r="R233" t="str">
        <f t="shared" si="7"/>
        <v>Medium Risk</v>
      </c>
    </row>
    <row r="234" spans="1:18" x14ac:dyDescent="0.35">
      <c r="A234" s="1" t="s">
        <v>365</v>
      </c>
      <c r="B234" s="2">
        <v>45435</v>
      </c>
      <c r="C234" s="1" t="s">
        <v>172</v>
      </c>
      <c r="D234" s="1">
        <v>54</v>
      </c>
      <c r="E234" s="1" t="s">
        <v>32</v>
      </c>
      <c r="F234" s="1" t="s">
        <v>51</v>
      </c>
      <c r="G234" s="1" t="s">
        <v>41</v>
      </c>
      <c r="H234" s="1" t="s">
        <v>125</v>
      </c>
      <c r="I234" s="1">
        <v>461.97</v>
      </c>
      <c r="J234" s="1">
        <v>2</v>
      </c>
      <c r="K234" s="1">
        <v>0</v>
      </c>
      <c r="L234" s="1" t="s">
        <v>43</v>
      </c>
      <c r="M234" s="1">
        <v>2</v>
      </c>
      <c r="N234" s="1">
        <v>4</v>
      </c>
      <c r="O234" s="1">
        <v>923.94</v>
      </c>
      <c r="P234" cm="1">
        <f t="array" ref="P234">_xlfn.IFS(O234&gt;=3000,20%,O234&gt;=1000,15%,O234&gt;=500,10%,O234&gt;=200,5%,O234&lt;200,0%)</f>
        <v>0.1</v>
      </c>
      <c r="Q234">
        <f t="shared" si="6"/>
        <v>92.394000000000005</v>
      </c>
      <c r="R234" t="str">
        <f t="shared" si="7"/>
        <v>Medium Risk</v>
      </c>
    </row>
    <row r="235" spans="1:18" x14ac:dyDescent="0.35">
      <c r="A235" s="1" t="s">
        <v>366</v>
      </c>
      <c r="B235" s="2">
        <v>45388</v>
      </c>
      <c r="C235" s="1" t="s">
        <v>132</v>
      </c>
      <c r="D235" s="1">
        <v>54</v>
      </c>
      <c r="E235" s="1" t="s">
        <v>20</v>
      </c>
      <c r="F235" s="1" t="s">
        <v>21</v>
      </c>
      <c r="G235" s="1" t="s">
        <v>47</v>
      </c>
      <c r="H235" s="1" t="s">
        <v>42</v>
      </c>
      <c r="I235" s="1">
        <v>216.9</v>
      </c>
      <c r="J235" s="1">
        <v>2</v>
      </c>
      <c r="K235" s="1">
        <v>5</v>
      </c>
      <c r="L235" s="1" t="s">
        <v>29</v>
      </c>
      <c r="M235" s="1">
        <v>4</v>
      </c>
      <c r="N235" s="1">
        <v>2</v>
      </c>
      <c r="O235" s="1">
        <v>412.11</v>
      </c>
      <c r="P235" cm="1">
        <f t="array" ref="P235">_xlfn.IFS(O235&gt;=3000,20%,O235&gt;=1000,15%,O235&gt;=500,10%,O235&gt;=200,5%,O235&lt;200,0%)</f>
        <v>0.05</v>
      </c>
      <c r="Q235">
        <f t="shared" si="6"/>
        <v>20.605500000000003</v>
      </c>
      <c r="R235" t="str">
        <f t="shared" si="7"/>
        <v>Low Risk</v>
      </c>
    </row>
    <row r="236" spans="1:18" x14ac:dyDescent="0.35">
      <c r="A236" s="1" t="s">
        <v>367</v>
      </c>
      <c r="B236" s="2">
        <v>45492</v>
      </c>
      <c r="C236" s="1" t="s">
        <v>178</v>
      </c>
      <c r="D236" s="1">
        <v>27</v>
      </c>
      <c r="E236" s="1" t="s">
        <v>20</v>
      </c>
      <c r="F236" s="1" t="s">
        <v>46</v>
      </c>
      <c r="G236" s="1" t="s">
        <v>34</v>
      </c>
      <c r="H236" s="1" t="s">
        <v>48</v>
      </c>
      <c r="I236" s="1">
        <v>528.02</v>
      </c>
      <c r="J236" s="1">
        <v>1</v>
      </c>
      <c r="K236" s="1">
        <v>15</v>
      </c>
      <c r="L236" s="1" t="s">
        <v>43</v>
      </c>
      <c r="M236" s="1">
        <v>3</v>
      </c>
      <c r="N236" s="1">
        <v>6</v>
      </c>
      <c r="O236" s="1">
        <v>448.81700000000001</v>
      </c>
      <c r="P236" cm="1">
        <f t="array" ref="P236">_xlfn.IFS(O236&gt;=3000,20%,O236&gt;=1000,15%,O236&gt;=500,10%,O236&gt;=200,5%,O236&lt;200,0%)</f>
        <v>0.05</v>
      </c>
      <c r="Q236">
        <f t="shared" si="6"/>
        <v>22.440850000000001</v>
      </c>
      <c r="R236" t="str">
        <f t="shared" si="7"/>
        <v>Medium Risk</v>
      </c>
    </row>
    <row r="237" spans="1:18" x14ac:dyDescent="0.35">
      <c r="A237" s="1" t="s">
        <v>368</v>
      </c>
      <c r="B237" s="2">
        <v>45415</v>
      </c>
      <c r="C237" s="1" t="s">
        <v>19</v>
      </c>
      <c r="D237" s="1">
        <v>27</v>
      </c>
      <c r="E237" s="1" t="s">
        <v>20</v>
      </c>
      <c r="F237" s="1" t="s">
        <v>46</v>
      </c>
      <c r="G237" s="1" t="s">
        <v>38</v>
      </c>
      <c r="H237" s="1" t="s">
        <v>23</v>
      </c>
      <c r="I237" s="1">
        <v>188.26</v>
      </c>
      <c r="J237" s="1">
        <v>3</v>
      </c>
      <c r="K237" s="1">
        <v>0</v>
      </c>
      <c r="L237" s="1" t="s">
        <v>52</v>
      </c>
      <c r="N237" s="1">
        <v>3</v>
      </c>
      <c r="O237" s="1">
        <v>564.78</v>
      </c>
      <c r="P237" cm="1">
        <f t="array" ref="P237">_xlfn.IFS(O237&gt;=3000,20%,O237&gt;=1000,15%,O237&gt;=500,10%,O237&gt;=200,5%,O237&lt;200,0%)</f>
        <v>0.1</v>
      </c>
      <c r="Q237">
        <f t="shared" si="6"/>
        <v>56.478000000000002</v>
      </c>
      <c r="R237" t="str">
        <f t="shared" si="7"/>
        <v>Missing Data</v>
      </c>
    </row>
    <row r="238" spans="1:18" x14ac:dyDescent="0.35">
      <c r="A238" s="1" t="s">
        <v>369</v>
      </c>
      <c r="B238" s="2">
        <v>45478</v>
      </c>
      <c r="C238" s="1" t="s">
        <v>201</v>
      </c>
      <c r="D238" s="1">
        <v>36</v>
      </c>
      <c r="E238" s="1" t="s">
        <v>32</v>
      </c>
      <c r="F238" s="1" t="s">
        <v>51</v>
      </c>
      <c r="G238" s="1" t="s">
        <v>41</v>
      </c>
      <c r="H238" s="1" t="s">
        <v>42</v>
      </c>
      <c r="I238" s="1">
        <v>1070.31</v>
      </c>
      <c r="J238" s="1">
        <v>2</v>
      </c>
      <c r="K238" s="1">
        <v>20</v>
      </c>
      <c r="L238" s="1" t="s">
        <v>43</v>
      </c>
      <c r="M238" s="1">
        <v>3</v>
      </c>
      <c r="N238" s="1">
        <v>7</v>
      </c>
      <c r="O238" s="1">
        <v>1712.4960000000001</v>
      </c>
      <c r="P238" cm="1">
        <f t="array" ref="P238">_xlfn.IFS(O238&gt;=3000,20%,O238&gt;=1000,15%,O238&gt;=500,10%,O238&gt;=200,5%,O238&lt;200,0%)</f>
        <v>0.15</v>
      </c>
      <c r="Q238">
        <f t="shared" si="6"/>
        <v>256.87439999999998</v>
      </c>
      <c r="R238" t="str">
        <f t="shared" si="7"/>
        <v>Medium Risk</v>
      </c>
    </row>
    <row r="239" spans="1:18" x14ac:dyDescent="0.35">
      <c r="A239" s="1" t="s">
        <v>370</v>
      </c>
      <c r="B239" s="2">
        <v>45617</v>
      </c>
      <c r="C239" s="1" t="s">
        <v>132</v>
      </c>
      <c r="D239" s="1">
        <v>34</v>
      </c>
      <c r="E239" s="1" t="s">
        <v>32</v>
      </c>
      <c r="F239" s="1" t="s">
        <v>21</v>
      </c>
      <c r="G239" s="1" t="s">
        <v>34</v>
      </c>
      <c r="H239" s="1" t="s">
        <v>42</v>
      </c>
      <c r="I239" s="1">
        <v>428.14</v>
      </c>
      <c r="J239" s="1">
        <v>3</v>
      </c>
      <c r="K239" s="1">
        <v>5</v>
      </c>
      <c r="L239" s="1" t="s">
        <v>24</v>
      </c>
      <c r="M239" s="1">
        <v>4</v>
      </c>
      <c r="N239" s="1">
        <v>5</v>
      </c>
      <c r="O239" s="1">
        <v>1220.1990000000001</v>
      </c>
      <c r="P239" cm="1">
        <f t="array" ref="P239">_xlfn.IFS(O239&gt;=3000,20%,O239&gt;=1000,15%,O239&gt;=500,10%,O239&gt;=200,5%,O239&lt;200,0%)</f>
        <v>0.15</v>
      </c>
      <c r="Q239">
        <f t="shared" si="6"/>
        <v>183.02985000000001</v>
      </c>
      <c r="R239" t="str">
        <f t="shared" si="7"/>
        <v>Low Risk</v>
      </c>
    </row>
    <row r="240" spans="1:18" x14ac:dyDescent="0.35">
      <c r="A240" s="1" t="s">
        <v>371</v>
      </c>
      <c r="B240" s="2">
        <v>45640</v>
      </c>
      <c r="C240" s="1" t="s">
        <v>128</v>
      </c>
      <c r="D240" s="1">
        <v>38</v>
      </c>
      <c r="E240" s="1" t="s">
        <v>32</v>
      </c>
      <c r="F240" s="1" t="s">
        <v>46</v>
      </c>
      <c r="G240" s="1" t="s">
        <v>34</v>
      </c>
      <c r="H240" s="1" t="s">
        <v>23</v>
      </c>
      <c r="I240" s="1">
        <v>202.26</v>
      </c>
      <c r="J240" s="1">
        <v>2</v>
      </c>
      <c r="K240" s="1">
        <v>0</v>
      </c>
      <c r="L240" s="1" t="s">
        <v>52</v>
      </c>
      <c r="M240" s="1">
        <v>1</v>
      </c>
      <c r="N240" s="1">
        <v>4</v>
      </c>
      <c r="O240" s="1">
        <v>404.52</v>
      </c>
      <c r="P240" cm="1">
        <f t="array" ref="P240">_xlfn.IFS(O240&gt;=3000,20%,O240&gt;=1000,15%,O240&gt;=500,10%,O240&gt;=200,5%,O240&lt;200,0%)</f>
        <v>0.05</v>
      </c>
      <c r="Q240">
        <f t="shared" si="6"/>
        <v>20.225999999999999</v>
      </c>
      <c r="R240" t="str">
        <f t="shared" si="7"/>
        <v>High Risk</v>
      </c>
    </row>
    <row r="241" spans="1:18" x14ac:dyDescent="0.35">
      <c r="A241" s="1" t="s">
        <v>372</v>
      </c>
      <c r="B241" s="2">
        <v>45550</v>
      </c>
      <c r="C241" s="1" t="s">
        <v>89</v>
      </c>
      <c r="D241" s="1">
        <v>31</v>
      </c>
      <c r="E241" s="1" t="s">
        <v>32</v>
      </c>
      <c r="F241" s="1" t="s">
        <v>33</v>
      </c>
      <c r="G241" s="1" t="s">
        <v>38</v>
      </c>
      <c r="H241" s="1" t="s">
        <v>125</v>
      </c>
      <c r="I241" s="1">
        <v>50.03</v>
      </c>
      <c r="J241" s="1">
        <v>2</v>
      </c>
      <c r="K241" s="1">
        <v>5</v>
      </c>
      <c r="L241" s="1" t="s">
        <v>52</v>
      </c>
      <c r="M241" s="1">
        <v>2</v>
      </c>
      <c r="N241" s="1">
        <v>5</v>
      </c>
      <c r="O241" s="1">
        <v>95.057000000000002</v>
      </c>
      <c r="P241" cm="1">
        <f t="array" ref="P241">_xlfn.IFS(O241&gt;=3000,20%,O241&gt;=1000,15%,O241&gt;=500,10%,O241&gt;=200,5%,O241&lt;200,0%)</f>
        <v>0</v>
      </c>
      <c r="Q241">
        <f t="shared" si="6"/>
        <v>0</v>
      </c>
      <c r="R241" t="str">
        <f t="shared" si="7"/>
        <v>Medium Risk</v>
      </c>
    </row>
    <row r="242" spans="1:18" x14ac:dyDescent="0.35">
      <c r="A242" s="1" t="s">
        <v>373</v>
      </c>
      <c r="B242" s="2">
        <v>45439</v>
      </c>
      <c r="C242" s="1" t="s">
        <v>354</v>
      </c>
      <c r="D242" s="1">
        <v>26</v>
      </c>
      <c r="E242" s="1" t="s">
        <v>20</v>
      </c>
      <c r="F242" s="1" t="s">
        <v>27</v>
      </c>
      <c r="G242" s="1" t="s">
        <v>22</v>
      </c>
      <c r="H242" s="1" t="s">
        <v>125</v>
      </c>
      <c r="I242" s="1">
        <v>782.07</v>
      </c>
      <c r="J242" s="1">
        <v>1</v>
      </c>
      <c r="K242" s="1">
        <v>5</v>
      </c>
      <c r="L242" s="1" t="s">
        <v>52</v>
      </c>
      <c r="M242" s="1">
        <v>2</v>
      </c>
      <c r="N242" s="1">
        <v>8</v>
      </c>
      <c r="O242" s="1">
        <v>742.9665</v>
      </c>
      <c r="P242" cm="1">
        <f t="array" ref="P242">_xlfn.IFS(O242&gt;=3000,20%,O242&gt;=1000,15%,O242&gt;=500,10%,O242&gt;=200,5%,O242&lt;200,0%)</f>
        <v>0.1</v>
      </c>
      <c r="Q242">
        <f t="shared" si="6"/>
        <v>74.29665</v>
      </c>
      <c r="R242" t="str">
        <f t="shared" si="7"/>
        <v>Medium Risk</v>
      </c>
    </row>
    <row r="243" spans="1:18" x14ac:dyDescent="0.35">
      <c r="A243" s="1" t="s">
        <v>374</v>
      </c>
      <c r="B243" s="2">
        <v>45543</v>
      </c>
      <c r="C243" s="1" t="s">
        <v>358</v>
      </c>
      <c r="D243" s="1">
        <v>18</v>
      </c>
      <c r="E243" s="1" t="s">
        <v>20</v>
      </c>
      <c r="F243" s="1" t="s">
        <v>27</v>
      </c>
      <c r="G243" s="1" t="s">
        <v>38</v>
      </c>
      <c r="H243" s="1" t="s">
        <v>23</v>
      </c>
      <c r="I243" s="1">
        <v>771.54</v>
      </c>
      <c r="J243" s="1">
        <v>4</v>
      </c>
      <c r="K243" s="1">
        <v>10</v>
      </c>
      <c r="L243" s="1" t="s">
        <v>29</v>
      </c>
      <c r="M243" s="1">
        <v>1</v>
      </c>
      <c r="N243" s="1">
        <v>3</v>
      </c>
      <c r="O243" s="1">
        <v>2777.5439999999999</v>
      </c>
      <c r="P243" cm="1">
        <f t="array" ref="P243">_xlfn.IFS(O243&gt;=3000,20%,O243&gt;=1000,15%,O243&gt;=500,10%,O243&gt;=200,5%,O243&lt;200,0%)</f>
        <v>0.15</v>
      </c>
      <c r="Q243">
        <f t="shared" si="6"/>
        <v>416.63159999999999</v>
      </c>
      <c r="R243" t="str">
        <f t="shared" si="7"/>
        <v>High Risk</v>
      </c>
    </row>
    <row r="244" spans="1:18" x14ac:dyDescent="0.35">
      <c r="A244" s="1" t="s">
        <v>375</v>
      </c>
      <c r="B244" s="2">
        <v>45637</v>
      </c>
      <c r="C244" s="1" t="s">
        <v>118</v>
      </c>
      <c r="D244" s="1">
        <v>30</v>
      </c>
      <c r="E244" s="1" t="s">
        <v>20</v>
      </c>
      <c r="F244" s="1" t="s">
        <v>27</v>
      </c>
      <c r="G244" s="1" t="s">
        <v>41</v>
      </c>
      <c r="H244" s="1" t="s">
        <v>79</v>
      </c>
      <c r="I244" s="1">
        <v>421.91</v>
      </c>
      <c r="J244" s="1">
        <v>4</v>
      </c>
      <c r="K244" s="1">
        <v>5</v>
      </c>
      <c r="L244" s="1" t="s">
        <v>29</v>
      </c>
      <c r="M244" s="1">
        <v>4</v>
      </c>
      <c r="N244" s="1">
        <v>7</v>
      </c>
      <c r="O244" s="1">
        <v>1603.258</v>
      </c>
      <c r="P244" cm="1">
        <f t="array" ref="P244">_xlfn.IFS(O244&gt;=3000,20%,O244&gt;=1000,15%,O244&gt;=500,10%,O244&gt;=200,5%,O244&lt;200,0%)</f>
        <v>0.15</v>
      </c>
      <c r="Q244">
        <f t="shared" si="6"/>
        <v>240.48869999999999</v>
      </c>
      <c r="R244" t="str">
        <f t="shared" si="7"/>
        <v>Low Risk</v>
      </c>
    </row>
    <row r="245" spans="1:18" x14ac:dyDescent="0.35">
      <c r="A245" s="1" t="s">
        <v>376</v>
      </c>
      <c r="B245" s="2">
        <v>45438</v>
      </c>
      <c r="C245" s="1" t="s">
        <v>137</v>
      </c>
      <c r="D245" s="1">
        <v>21</v>
      </c>
      <c r="E245" s="1" t="s">
        <v>32</v>
      </c>
      <c r="F245" s="1" t="s">
        <v>21</v>
      </c>
      <c r="G245" s="1" t="s">
        <v>34</v>
      </c>
      <c r="H245" s="1" t="s">
        <v>48</v>
      </c>
      <c r="I245" s="1">
        <v>104.62</v>
      </c>
      <c r="J245" s="1">
        <v>1</v>
      </c>
      <c r="K245" s="1">
        <v>10</v>
      </c>
      <c r="L245" s="1" t="s">
        <v>52</v>
      </c>
      <c r="M245" s="1">
        <v>2</v>
      </c>
      <c r="N245" s="1">
        <v>6</v>
      </c>
      <c r="O245" s="1">
        <v>94.158000000000001</v>
      </c>
      <c r="P245" cm="1">
        <f t="array" ref="P245">_xlfn.IFS(O245&gt;=3000,20%,O245&gt;=1000,15%,O245&gt;=500,10%,O245&gt;=200,5%,O245&lt;200,0%)</f>
        <v>0</v>
      </c>
      <c r="Q245">
        <f t="shared" si="6"/>
        <v>0</v>
      </c>
      <c r="R245" t="str">
        <f t="shared" si="7"/>
        <v>Medium Risk</v>
      </c>
    </row>
    <row r="246" spans="1:18" x14ac:dyDescent="0.35">
      <c r="A246" s="1" t="s">
        <v>377</v>
      </c>
      <c r="B246" s="2">
        <v>45439</v>
      </c>
      <c r="C246" s="1" t="s">
        <v>352</v>
      </c>
      <c r="D246" s="1">
        <v>18</v>
      </c>
      <c r="E246" s="1" t="s">
        <v>20</v>
      </c>
      <c r="F246" s="1" t="s">
        <v>51</v>
      </c>
      <c r="G246" s="1" t="s">
        <v>38</v>
      </c>
      <c r="H246" s="1" t="s">
        <v>28</v>
      </c>
      <c r="I246" s="1">
        <v>503.36</v>
      </c>
      <c r="J246" s="1">
        <v>3</v>
      </c>
      <c r="K246" s="1">
        <v>15</v>
      </c>
      <c r="L246" s="1" t="s">
        <v>29</v>
      </c>
      <c r="M246" s="1">
        <v>4</v>
      </c>
      <c r="N246" s="1">
        <v>1</v>
      </c>
      <c r="O246" s="1">
        <v>1283.568</v>
      </c>
      <c r="P246" cm="1">
        <f t="array" ref="P246">_xlfn.IFS(O246&gt;=3000,20%,O246&gt;=1000,15%,O246&gt;=500,10%,O246&gt;=200,5%,O246&lt;200,0%)</f>
        <v>0.15</v>
      </c>
      <c r="Q246">
        <f t="shared" si="6"/>
        <v>192.5352</v>
      </c>
      <c r="R246" t="str">
        <f t="shared" si="7"/>
        <v>Medium Risk</v>
      </c>
    </row>
    <row r="247" spans="1:18" x14ac:dyDescent="0.35">
      <c r="A247" s="1" t="s">
        <v>378</v>
      </c>
      <c r="B247" s="2">
        <v>45643</v>
      </c>
      <c r="C247" s="1" t="s">
        <v>352</v>
      </c>
      <c r="D247" s="1">
        <v>57</v>
      </c>
      <c r="E247" s="1" t="s">
        <v>32</v>
      </c>
      <c r="F247" s="1" t="s">
        <v>46</v>
      </c>
      <c r="G247" s="1" t="s">
        <v>22</v>
      </c>
      <c r="H247" s="1" t="s">
        <v>35</v>
      </c>
      <c r="I247" s="1">
        <v>387.24</v>
      </c>
      <c r="J247" s="1">
        <v>4</v>
      </c>
      <c r="K247" s="1">
        <v>10</v>
      </c>
      <c r="L247" s="1" t="s">
        <v>43</v>
      </c>
      <c r="N247" s="1">
        <v>7</v>
      </c>
      <c r="O247" s="1">
        <v>1394.0640000000001</v>
      </c>
      <c r="P247" cm="1">
        <f t="array" ref="P247">_xlfn.IFS(O247&gt;=3000,20%,O247&gt;=1000,15%,O247&gt;=500,10%,O247&gt;=200,5%,O247&lt;200,0%)</f>
        <v>0.15</v>
      </c>
      <c r="Q247">
        <f t="shared" si="6"/>
        <v>209.1096</v>
      </c>
      <c r="R247" t="str">
        <f t="shared" si="7"/>
        <v>Missing Data</v>
      </c>
    </row>
    <row r="248" spans="1:18" x14ac:dyDescent="0.35">
      <c r="A248" s="1" t="s">
        <v>379</v>
      </c>
      <c r="B248" s="2">
        <v>45490</v>
      </c>
      <c r="C248" s="1" t="s">
        <v>87</v>
      </c>
      <c r="D248" s="1">
        <v>49</v>
      </c>
      <c r="E248" s="1" t="s">
        <v>20</v>
      </c>
      <c r="F248" s="1" t="s">
        <v>33</v>
      </c>
      <c r="G248" s="1" t="s">
        <v>38</v>
      </c>
      <c r="H248" s="1" t="s">
        <v>48</v>
      </c>
      <c r="I248" s="1">
        <v>819</v>
      </c>
      <c r="J248" s="1">
        <v>1</v>
      </c>
      <c r="K248" s="1">
        <v>20</v>
      </c>
      <c r="L248" s="1" t="s">
        <v>29</v>
      </c>
      <c r="M248" s="1">
        <v>4</v>
      </c>
      <c r="N248" s="1">
        <v>7</v>
      </c>
      <c r="O248" s="1">
        <v>655.20000000000005</v>
      </c>
      <c r="P248" cm="1">
        <f t="array" ref="P248">_xlfn.IFS(O248&gt;=3000,20%,O248&gt;=1000,15%,O248&gt;=500,10%,O248&gt;=200,5%,O248&lt;200,0%)</f>
        <v>0.1</v>
      </c>
      <c r="Q248">
        <f t="shared" si="6"/>
        <v>65.52000000000001</v>
      </c>
      <c r="R248" t="str">
        <f t="shared" si="7"/>
        <v>Medium Risk</v>
      </c>
    </row>
    <row r="249" spans="1:18" x14ac:dyDescent="0.35">
      <c r="A249" s="1" t="s">
        <v>380</v>
      </c>
      <c r="B249" s="2">
        <v>45599</v>
      </c>
      <c r="C249" s="1" t="s">
        <v>237</v>
      </c>
      <c r="D249" s="1">
        <v>51</v>
      </c>
      <c r="E249" s="1" t="s">
        <v>32</v>
      </c>
      <c r="F249" s="1" t="s">
        <v>33</v>
      </c>
      <c r="G249" s="1" t="s">
        <v>47</v>
      </c>
      <c r="H249" s="1" t="s">
        <v>125</v>
      </c>
      <c r="I249" s="1">
        <v>734.82</v>
      </c>
      <c r="J249" s="1">
        <v>1</v>
      </c>
      <c r="K249" s="1">
        <v>0</v>
      </c>
      <c r="L249" s="1" t="s">
        <v>29</v>
      </c>
      <c r="M249" s="1">
        <v>3</v>
      </c>
      <c r="N249" s="1">
        <v>1</v>
      </c>
      <c r="O249" s="1">
        <v>734.82</v>
      </c>
      <c r="P249" cm="1">
        <f t="array" ref="P249">_xlfn.IFS(O249&gt;=3000,20%,O249&gt;=1000,15%,O249&gt;=500,10%,O249&gt;=200,5%,O249&lt;200,0%)</f>
        <v>0.1</v>
      </c>
      <c r="Q249">
        <f t="shared" si="6"/>
        <v>73.482000000000014</v>
      </c>
      <c r="R249" t="str">
        <f t="shared" si="7"/>
        <v>Medium Risk</v>
      </c>
    </row>
    <row r="250" spans="1:18" x14ac:dyDescent="0.35">
      <c r="A250" s="1" t="s">
        <v>381</v>
      </c>
      <c r="B250" s="2">
        <v>45419</v>
      </c>
      <c r="C250" s="1" t="s">
        <v>270</v>
      </c>
      <c r="D250" s="1">
        <v>45</v>
      </c>
      <c r="E250" s="1" t="s">
        <v>32</v>
      </c>
      <c r="F250" s="1" t="s">
        <v>21</v>
      </c>
      <c r="G250" s="1" t="s">
        <v>22</v>
      </c>
      <c r="H250" s="1" t="s">
        <v>28</v>
      </c>
      <c r="I250" s="1">
        <v>450.22</v>
      </c>
      <c r="J250" s="1">
        <v>4</v>
      </c>
      <c r="K250" s="1">
        <v>15</v>
      </c>
      <c r="L250" s="1" t="s">
        <v>52</v>
      </c>
      <c r="M250" s="1">
        <v>1</v>
      </c>
      <c r="N250" s="1">
        <v>9</v>
      </c>
      <c r="O250" s="1">
        <v>1530.748</v>
      </c>
      <c r="P250" cm="1">
        <f t="array" ref="P250">_xlfn.IFS(O250&gt;=3000,20%,O250&gt;=1000,15%,O250&gt;=500,10%,O250&gt;=200,5%,O250&lt;200,0%)</f>
        <v>0.15</v>
      </c>
      <c r="Q250">
        <f t="shared" si="6"/>
        <v>229.6122</v>
      </c>
      <c r="R250" t="str">
        <f t="shared" si="7"/>
        <v>High Risk</v>
      </c>
    </row>
    <row r="251" spans="1:18" x14ac:dyDescent="0.35">
      <c r="A251" s="1" t="s">
        <v>382</v>
      </c>
      <c r="B251" s="2">
        <v>45330</v>
      </c>
      <c r="C251" s="1" t="s">
        <v>204</v>
      </c>
      <c r="D251" s="1">
        <v>48</v>
      </c>
      <c r="E251" s="1" t="s">
        <v>20</v>
      </c>
      <c r="F251" s="1" t="s">
        <v>27</v>
      </c>
      <c r="G251" s="1" t="s">
        <v>41</v>
      </c>
      <c r="H251" s="1" t="s">
        <v>64</v>
      </c>
      <c r="I251" s="1">
        <v>277.11</v>
      </c>
      <c r="J251" s="1">
        <v>3</v>
      </c>
      <c r="K251" s="1">
        <v>15</v>
      </c>
      <c r="L251" s="1" t="s">
        <v>24</v>
      </c>
      <c r="M251" s="1">
        <v>4</v>
      </c>
      <c r="N251" s="1">
        <v>6</v>
      </c>
      <c r="O251" s="1">
        <v>706.63049999999998</v>
      </c>
      <c r="P251" cm="1">
        <f t="array" ref="P251">_xlfn.IFS(O251&gt;=3000,20%,O251&gt;=1000,15%,O251&gt;=500,10%,O251&gt;=200,5%,O251&lt;200,0%)</f>
        <v>0.1</v>
      </c>
      <c r="Q251">
        <f t="shared" si="6"/>
        <v>70.663049999999998</v>
      </c>
      <c r="R251" t="str">
        <f t="shared" si="7"/>
        <v>Medium Risk</v>
      </c>
    </row>
    <row r="252" spans="1:18" x14ac:dyDescent="0.35">
      <c r="A252" s="1" t="s">
        <v>383</v>
      </c>
      <c r="B252" s="2">
        <v>45629</v>
      </c>
      <c r="C252" s="1" t="s">
        <v>164</v>
      </c>
      <c r="D252" s="1">
        <v>25</v>
      </c>
      <c r="E252" s="1" t="s">
        <v>20</v>
      </c>
      <c r="F252" s="1" t="s">
        <v>21</v>
      </c>
      <c r="G252" s="1" t="s">
        <v>34</v>
      </c>
      <c r="H252" s="1" t="s">
        <v>96</v>
      </c>
      <c r="I252" s="1">
        <v>1185.8800000000001</v>
      </c>
      <c r="J252" s="1">
        <v>1</v>
      </c>
      <c r="K252" s="1">
        <v>20</v>
      </c>
      <c r="L252" s="1" t="s">
        <v>24</v>
      </c>
      <c r="N252" s="1">
        <v>2</v>
      </c>
      <c r="O252" s="1">
        <v>948.70399999999995</v>
      </c>
      <c r="P252" cm="1">
        <f t="array" ref="P252">_xlfn.IFS(O252&gt;=3000,20%,O252&gt;=1000,15%,O252&gt;=500,10%,O252&gt;=200,5%,O252&lt;200,0%)</f>
        <v>0.1</v>
      </c>
      <c r="Q252">
        <f t="shared" si="6"/>
        <v>94.870400000000004</v>
      </c>
      <c r="R252" t="str">
        <f t="shared" si="7"/>
        <v>Missing Data</v>
      </c>
    </row>
    <row r="253" spans="1:18" x14ac:dyDescent="0.35">
      <c r="A253" s="1" t="s">
        <v>384</v>
      </c>
      <c r="B253" s="2">
        <v>45651</v>
      </c>
      <c r="C253" s="1" t="s">
        <v>113</v>
      </c>
      <c r="D253" s="1">
        <v>56</v>
      </c>
      <c r="E253" s="1" t="s">
        <v>20</v>
      </c>
      <c r="F253" s="1" t="s">
        <v>51</v>
      </c>
      <c r="G253" s="1" t="s">
        <v>38</v>
      </c>
      <c r="H253" s="1" t="s">
        <v>42</v>
      </c>
      <c r="I253" s="1">
        <v>555.72</v>
      </c>
      <c r="J253" s="1">
        <v>2</v>
      </c>
      <c r="K253" s="1">
        <v>10</v>
      </c>
      <c r="L253" s="1" t="s">
        <v>24</v>
      </c>
      <c r="M253" s="1">
        <v>5</v>
      </c>
      <c r="N253" s="1">
        <v>5</v>
      </c>
      <c r="O253" s="1">
        <v>1000.296</v>
      </c>
      <c r="P253" cm="1">
        <f t="array" ref="P253">_xlfn.IFS(O253&gt;=3000,20%,O253&gt;=1000,15%,O253&gt;=500,10%,O253&gt;=200,5%,O253&lt;200,0%)</f>
        <v>0.15</v>
      </c>
      <c r="Q253">
        <f t="shared" si="6"/>
        <v>150.0444</v>
      </c>
      <c r="R253" t="str">
        <f t="shared" si="7"/>
        <v>Low Risk</v>
      </c>
    </row>
    <row r="254" spans="1:18" x14ac:dyDescent="0.35">
      <c r="A254" s="1" t="s">
        <v>385</v>
      </c>
      <c r="B254" s="2">
        <v>45420</v>
      </c>
      <c r="C254" s="1" t="s">
        <v>59</v>
      </c>
      <c r="D254" s="1">
        <v>43</v>
      </c>
      <c r="E254" s="1" t="s">
        <v>20</v>
      </c>
      <c r="F254" s="1" t="s">
        <v>51</v>
      </c>
      <c r="G254" s="1" t="s">
        <v>22</v>
      </c>
      <c r="H254" s="1" t="s">
        <v>23</v>
      </c>
      <c r="I254" s="1">
        <v>832.16</v>
      </c>
      <c r="J254" s="1">
        <v>3</v>
      </c>
      <c r="K254" s="1">
        <v>0</v>
      </c>
      <c r="L254" s="1" t="s">
        <v>43</v>
      </c>
      <c r="M254" s="1">
        <v>1</v>
      </c>
      <c r="N254" s="1">
        <v>4</v>
      </c>
      <c r="O254" s="1">
        <v>2496.48</v>
      </c>
      <c r="P254" cm="1">
        <f t="array" ref="P254">_xlfn.IFS(O254&gt;=3000,20%,O254&gt;=1000,15%,O254&gt;=500,10%,O254&gt;=200,5%,O254&lt;200,0%)</f>
        <v>0.15</v>
      </c>
      <c r="Q254">
        <f t="shared" si="6"/>
        <v>374.47199999999998</v>
      </c>
      <c r="R254" t="str">
        <f t="shared" si="7"/>
        <v>High Risk</v>
      </c>
    </row>
    <row r="255" spans="1:18" x14ac:dyDescent="0.35">
      <c r="A255" s="1" t="s">
        <v>386</v>
      </c>
      <c r="B255" s="2">
        <v>45558</v>
      </c>
      <c r="C255" s="1" t="s">
        <v>63</v>
      </c>
      <c r="D255" s="1">
        <v>51</v>
      </c>
      <c r="E255" s="1" t="s">
        <v>32</v>
      </c>
      <c r="F255" s="1" t="s">
        <v>46</v>
      </c>
      <c r="G255" s="1" t="s">
        <v>47</v>
      </c>
      <c r="H255" s="1" t="s">
        <v>23</v>
      </c>
      <c r="I255" s="1">
        <v>185.85</v>
      </c>
      <c r="J255" s="1">
        <v>3</v>
      </c>
      <c r="K255" s="1">
        <v>10</v>
      </c>
      <c r="L255" s="1" t="s">
        <v>29</v>
      </c>
      <c r="M255" s="1">
        <v>2</v>
      </c>
      <c r="N255" s="1">
        <v>7</v>
      </c>
      <c r="O255" s="1">
        <v>501.79500000000002</v>
      </c>
      <c r="P255" cm="1">
        <f t="array" ref="P255">_xlfn.IFS(O255&gt;=3000,20%,O255&gt;=1000,15%,O255&gt;=500,10%,O255&gt;=200,5%,O255&lt;200,0%)</f>
        <v>0.1</v>
      </c>
      <c r="Q255">
        <f t="shared" si="6"/>
        <v>50.179500000000004</v>
      </c>
      <c r="R255" t="str">
        <f t="shared" si="7"/>
        <v>Medium Risk</v>
      </c>
    </row>
    <row r="256" spans="1:18" x14ac:dyDescent="0.35">
      <c r="A256" s="1" t="s">
        <v>387</v>
      </c>
      <c r="B256" s="2">
        <v>45442</v>
      </c>
      <c r="C256" s="1" t="s">
        <v>388</v>
      </c>
      <c r="D256" s="1">
        <v>20</v>
      </c>
      <c r="E256" s="1" t="s">
        <v>20</v>
      </c>
      <c r="F256" s="1" t="s">
        <v>46</v>
      </c>
      <c r="G256" s="1" t="s">
        <v>22</v>
      </c>
      <c r="H256" s="1" t="s">
        <v>42</v>
      </c>
      <c r="I256" s="1">
        <v>593</v>
      </c>
      <c r="J256" s="1">
        <v>4</v>
      </c>
      <c r="K256" s="1">
        <v>5</v>
      </c>
      <c r="L256" s="1" t="s">
        <v>24</v>
      </c>
      <c r="M256" s="1">
        <v>3</v>
      </c>
      <c r="N256" s="1">
        <v>8</v>
      </c>
      <c r="O256" s="1">
        <v>2253.4</v>
      </c>
      <c r="P256" cm="1">
        <f t="array" ref="P256">_xlfn.IFS(O256&gt;=3000,20%,O256&gt;=1000,15%,O256&gt;=500,10%,O256&gt;=200,5%,O256&lt;200,0%)</f>
        <v>0.15</v>
      </c>
      <c r="Q256">
        <f t="shared" si="6"/>
        <v>338.01</v>
      </c>
      <c r="R256" t="str">
        <f t="shared" si="7"/>
        <v>Medium Risk</v>
      </c>
    </row>
    <row r="257" spans="1:18" x14ac:dyDescent="0.35">
      <c r="A257" s="1" t="s">
        <v>389</v>
      </c>
      <c r="B257" s="2">
        <v>45589</v>
      </c>
      <c r="C257" s="1" t="s">
        <v>291</v>
      </c>
      <c r="D257" s="1">
        <v>29</v>
      </c>
      <c r="E257" s="1" t="s">
        <v>20</v>
      </c>
      <c r="F257" s="1" t="s">
        <v>51</v>
      </c>
      <c r="G257" s="1" t="s">
        <v>47</v>
      </c>
      <c r="H257" s="1" t="s">
        <v>96</v>
      </c>
      <c r="I257" s="1">
        <v>52.49</v>
      </c>
      <c r="J257" s="1">
        <v>4</v>
      </c>
      <c r="K257" s="1">
        <v>10</v>
      </c>
      <c r="L257" s="1" t="s">
        <v>52</v>
      </c>
      <c r="M257" s="1">
        <v>2</v>
      </c>
      <c r="N257" s="1">
        <v>1</v>
      </c>
      <c r="O257" s="1">
        <v>188.964</v>
      </c>
      <c r="P257" cm="1">
        <f t="array" ref="P257">_xlfn.IFS(O257&gt;=3000,20%,O257&gt;=1000,15%,O257&gt;=500,10%,O257&gt;=200,5%,O257&lt;200,0%)</f>
        <v>0</v>
      </c>
      <c r="Q257">
        <f t="shared" si="6"/>
        <v>0</v>
      </c>
      <c r="R257" t="str">
        <f t="shared" si="7"/>
        <v>Medium Risk</v>
      </c>
    </row>
    <row r="258" spans="1:18" x14ac:dyDescent="0.35">
      <c r="A258" s="1" t="s">
        <v>390</v>
      </c>
      <c r="B258" s="2">
        <v>45390</v>
      </c>
      <c r="C258" s="1" t="s">
        <v>156</v>
      </c>
      <c r="D258" s="1">
        <v>18</v>
      </c>
      <c r="E258" s="1" t="s">
        <v>20</v>
      </c>
      <c r="F258" s="1" t="s">
        <v>51</v>
      </c>
      <c r="G258" s="1" t="s">
        <v>41</v>
      </c>
      <c r="H258" s="1" t="s">
        <v>35</v>
      </c>
      <c r="I258" s="1">
        <v>616.44000000000005</v>
      </c>
      <c r="J258" s="1">
        <v>2</v>
      </c>
      <c r="K258" s="1">
        <v>15</v>
      </c>
      <c r="L258" s="1" t="s">
        <v>24</v>
      </c>
      <c r="N258" s="1">
        <v>5</v>
      </c>
      <c r="O258" s="1">
        <v>1047.9480000000001</v>
      </c>
      <c r="P258" cm="1">
        <f t="array" ref="P258">_xlfn.IFS(O258&gt;=3000,20%,O258&gt;=1000,15%,O258&gt;=500,10%,O258&gt;=200,5%,O258&lt;200,0%)</f>
        <v>0.15</v>
      </c>
      <c r="Q258">
        <f t="shared" si="6"/>
        <v>157.19220000000001</v>
      </c>
      <c r="R258" t="str">
        <f t="shared" si="7"/>
        <v>Missing Data</v>
      </c>
    </row>
    <row r="259" spans="1:18" x14ac:dyDescent="0.35">
      <c r="A259" s="1" t="s">
        <v>391</v>
      </c>
      <c r="B259" s="2">
        <v>45554</v>
      </c>
      <c r="C259" s="1" t="s">
        <v>91</v>
      </c>
      <c r="D259" s="1">
        <v>22</v>
      </c>
      <c r="E259" s="1" t="s">
        <v>32</v>
      </c>
      <c r="F259" s="1" t="s">
        <v>51</v>
      </c>
      <c r="G259" s="1" t="s">
        <v>34</v>
      </c>
      <c r="H259" s="1" t="s">
        <v>96</v>
      </c>
      <c r="I259" s="1">
        <v>1157.54</v>
      </c>
      <c r="J259" s="1">
        <v>1</v>
      </c>
      <c r="K259" s="1">
        <v>0</v>
      </c>
      <c r="L259" s="1" t="s">
        <v>24</v>
      </c>
      <c r="N259" s="1">
        <v>3</v>
      </c>
      <c r="O259" s="1">
        <v>1157.54</v>
      </c>
      <c r="P259" cm="1">
        <f t="array" ref="P259">_xlfn.IFS(O259&gt;=3000,20%,O259&gt;=1000,15%,O259&gt;=500,10%,O259&gt;=200,5%,O259&lt;200,0%)</f>
        <v>0.15</v>
      </c>
      <c r="Q259">
        <f t="shared" ref="Q259:Q322" si="8">(P259*O259)</f>
        <v>173.631</v>
      </c>
      <c r="R259" t="str">
        <f t="shared" ref="R259:R322" si="9">IF(ISBLANK(K259),"Missing Data",IF(ISBLANK(M259),"Missing Data",IF(AND(K259&lt;=10,M259&gt;=4),"Low Risk",IF(OR(K259&gt;20,M259&lt;2),"High Risk","Medium Risk"))))</f>
        <v>Missing Data</v>
      </c>
    </row>
    <row r="260" spans="1:18" x14ac:dyDescent="0.35">
      <c r="A260" s="1" t="s">
        <v>392</v>
      </c>
      <c r="B260" s="2">
        <v>45543</v>
      </c>
      <c r="C260" s="1" t="s">
        <v>352</v>
      </c>
      <c r="D260" s="1">
        <v>47</v>
      </c>
      <c r="E260" s="1" t="s">
        <v>32</v>
      </c>
      <c r="F260" s="1" t="s">
        <v>21</v>
      </c>
      <c r="G260" s="1" t="s">
        <v>41</v>
      </c>
      <c r="H260" s="1" t="s">
        <v>28</v>
      </c>
      <c r="I260" s="1">
        <v>473.36</v>
      </c>
      <c r="J260" s="1">
        <v>4</v>
      </c>
      <c r="K260" s="1">
        <v>10</v>
      </c>
      <c r="L260" s="1" t="s">
        <v>29</v>
      </c>
      <c r="M260" s="1">
        <v>2</v>
      </c>
      <c r="N260" s="1">
        <v>1</v>
      </c>
      <c r="O260" s="1">
        <v>1704.096</v>
      </c>
      <c r="P260" cm="1">
        <f t="array" ref="P260">_xlfn.IFS(O260&gt;=3000,20%,O260&gt;=1000,15%,O260&gt;=500,10%,O260&gt;=200,5%,O260&lt;200,0%)</f>
        <v>0.15</v>
      </c>
      <c r="Q260">
        <f t="shared" si="8"/>
        <v>255.61439999999999</v>
      </c>
      <c r="R260" t="str">
        <f t="shared" si="9"/>
        <v>Medium Risk</v>
      </c>
    </row>
    <row r="261" spans="1:18" x14ac:dyDescent="0.35">
      <c r="A261" s="1" t="s">
        <v>393</v>
      </c>
      <c r="B261" s="2">
        <v>45435</v>
      </c>
      <c r="C261" s="1" t="s">
        <v>204</v>
      </c>
      <c r="D261" s="1">
        <v>47</v>
      </c>
      <c r="E261" s="1" t="s">
        <v>20</v>
      </c>
      <c r="F261" s="1" t="s">
        <v>51</v>
      </c>
      <c r="G261" s="1" t="s">
        <v>38</v>
      </c>
      <c r="H261" s="1" t="s">
        <v>96</v>
      </c>
      <c r="I261" s="1">
        <v>66.02</v>
      </c>
      <c r="J261" s="1">
        <v>4</v>
      </c>
      <c r="K261" s="1">
        <v>0</v>
      </c>
      <c r="L261" s="1" t="s">
        <v>29</v>
      </c>
      <c r="M261" s="1">
        <v>1</v>
      </c>
      <c r="N261" s="1">
        <v>3</v>
      </c>
      <c r="O261" s="1">
        <v>264.08</v>
      </c>
      <c r="P261" cm="1">
        <f t="array" ref="P261">_xlfn.IFS(O261&gt;=3000,20%,O261&gt;=1000,15%,O261&gt;=500,10%,O261&gt;=200,5%,O261&lt;200,0%)</f>
        <v>0.05</v>
      </c>
      <c r="Q261">
        <f t="shared" si="8"/>
        <v>13.204000000000001</v>
      </c>
      <c r="R261" t="str">
        <f t="shared" si="9"/>
        <v>High Risk</v>
      </c>
    </row>
    <row r="262" spans="1:18" x14ac:dyDescent="0.35">
      <c r="A262" s="1" t="s">
        <v>394</v>
      </c>
      <c r="B262" s="2">
        <v>45637</v>
      </c>
      <c r="C262" s="1" t="s">
        <v>289</v>
      </c>
      <c r="D262" s="1">
        <v>34</v>
      </c>
      <c r="E262" s="1" t="s">
        <v>32</v>
      </c>
      <c r="F262" s="1" t="s">
        <v>33</v>
      </c>
      <c r="G262" s="1" t="s">
        <v>22</v>
      </c>
      <c r="H262" s="1" t="s">
        <v>28</v>
      </c>
      <c r="I262" s="1">
        <v>56.53</v>
      </c>
      <c r="J262" s="1">
        <v>3</v>
      </c>
      <c r="K262" s="1">
        <v>0</v>
      </c>
      <c r="L262" s="1" t="s">
        <v>29</v>
      </c>
      <c r="M262" s="1">
        <v>2</v>
      </c>
      <c r="N262" s="1">
        <v>6</v>
      </c>
      <c r="O262" s="1">
        <v>169.59</v>
      </c>
      <c r="P262" cm="1">
        <f t="array" ref="P262">_xlfn.IFS(O262&gt;=3000,20%,O262&gt;=1000,15%,O262&gt;=500,10%,O262&gt;=200,5%,O262&lt;200,0%)</f>
        <v>0</v>
      </c>
      <c r="Q262">
        <f t="shared" si="8"/>
        <v>0</v>
      </c>
      <c r="R262" t="str">
        <f t="shared" si="9"/>
        <v>Medium Risk</v>
      </c>
    </row>
    <row r="263" spans="1:18" x14ac:dyDescent="0.35">
      <c r="A263" s="1" t="s">
        <v>395</v>
      </c>
      <c r="B263" s="2">
        <v>45403</v>
      </c>
      <c r="C263" s="1" t="s">
        <v>164</v>
      </c>
      <c r="D263" s="1">
        <v>40</v>
      </c>
      <c r="E263" s="1" t="s">
        <v>20</v>
      </c>
      <c r="F263" s="1" t="s">
        <v>27</v>
      </c>
      <c r="G263" s="1" t="s">
        <v>47</v>
      </c>
      <c r="H263" s="1" t="s">
        <v>96</v>
      </c>
      <c r="I263" s="1">
        <v>477.82</v>
      </c>
      <c r="J263" s="1">
        <v>4</v>
      </c>
      <c r="K263" s="1">
        <v>5</v>
      </c>
      <c r="L263" s="1" t="s">
        <v>43</v>
      </c>
      <c r="M263" s="1">
        <v>4</v>
      </c>
      <c r="N263" s="1">
        <v>7</v>
      </c>
      <c r="O263" s="1">
        <v>1815.7159999999999</v>
      </c>
      <c r="P263" cm="1">
        <f t="array" ref="P263">_xlfn.IFS(O263&gt;=3000,20%,O263&gt;=1000,15%,O263&gt;=500,10%,O263&gt;=200,5%,O263&lt;200,0%)</f>
        <v>0.15</v>
      </c>
      <c r="Q263">
        <f t="shared" si="8"/>
        <v>272.35739999999998</v>
      </c>
      <c r="R263" t="str">
        <f t="shared" si="9"/>
        <v>Low Risk</v>
      </c>
    </row>
    <row r="264" spans="1:18" x14ac:dyDescent="0.35">
      <c r="A264" s="1" t="s">
        <v>396</v>
      </c>
      <c r="B264" s="2">
        <v>45351</v>
      </c>
      <c r="C264" s="1" t="s">
        <v>201</v>
      </c>
      <c r="D264" s="1">
        <v>32</v>
      </c>
      <c r="E264" s="1" t="s">
        <v>32</v>
      </c>
      <c r="F264" s="1" t="s">
        <v>51</v>
      </c>
      <c r="G264" s="1" t="s">
        <v>47</v>
      </c>
      <c r="H264" s="1" t="s">
        <v>35</v>
      </c>
      <c r="I264" s="1">
        <v>208.83</v>
      </c>
      <c r="J264" s="1">
        <v>4</v>
      </c>
      <c r="K264" s="1">
        <v>5</v>
      </c>
      <c r="L264" s="1" t="s">
        <v>43</v>
      </c>
      <c r="M264" s="1">
        <v>2</v>
      </c>
      <c r="N264" s="1">
        <v>8</v>
      </c>
      <c r="O264" s="1">
        <v>793.55399999999997</v>
      </c>
      <c r="P264" cm="1">
        <f t="array" ref="P264">_xlfn.IFS(O264&gt;=3000,20%,O264&gt;=1000,15%,O264&gt;=500,10%,O264&gt;=200,5%,O264&lt;200,0%)</f>
        <v>0.1</v>
      </c>
      <c r="Q264">
        <f t="shared" si="8"/>
        <v>79.355400000000003</v>
      </c>
      <c r="R264" t="str">
        <f t="shared" si="9"/>
        <v>Medium Risk</v>
      </c>
    </row>
    <row r="265" spans="1:18" x14ac:dyDescent="0.35">
      <c r="A265" s="1" t="s">
        <v>397</v>
      </c>
      <c r="B265" s="2">
        <v>45293</v>
      </c>
      <c r="C265" s="1" t="s">
        <v>104</v>
      </c>
      <c r="D265" s="1">
        <v>54</v>
      </c>
      <c r="E265" s="1" t="s">
        <v>32</v>
      </c>
      <c r="F265" s="1" t="s">
        <v>27</v>
      </c>
      <c r="G265" s="1" t="s">
        <v>22</v>
      </c>
      <c r="H265" s="1" t="s">
        <v>35</v>
      </c>
      <c r="I265" s="1">
        <v>47.56</v>
      </c>
      <c r="J265" s="1">
        <v>4</v>
      </c>
      <c r="K265" s="1">
        <v>15</v>
      </c>
      <c r="L265" s="1" t="s">
        <v>24</v>
      </c>
      <c r="M265" s="1">
        <v>3</v>
      </c>
      <c r="N265" s="1">
        <v>4</v>
      </c>
      <c r="O265" s="1">
        <v>161.70400000000001</v>
      </c>
      <c r="P265" cm="1">
        <f t="array" ref="P265">_xlfn.IFS(O265&gt;=3000,20%,O265&gt;=1000,15%,O265&gt;=500,10%,O265&gt;=200,5%,O265&lt;200,0%)</f>
        <v>0</v>
      </c>
      <c r="Q265">
        <f t="shared" si="8"/>
        <v>0</v>
      </c>
      <c r="R265" t="str">
        <f t="shared" si="9"/>
        <v>Medium Risk</v>
      </c>
    </row>
    <row r="266" spans="1:18" x14ac:dyDescent="0.35">
      <c r="A266" s="1" t="s">
        <v>398</v>
      </c>
      <c r="B266" s="2">
        <v>45595</v>
      </c>
      <c r="C266" s="1" t="s">
        <v>50</v>
      </c>
      <c r="D266" s="1">
        <v>38</v>
      </c>
      <c r="E266" s="1" t="s">
        <v>32</v>
      </c>
      <c r="F266" s="1" t="s">
        <v>21</v>
      </c>
      <c r="G266" s="1" t="s">
        <v>22</v>
      </c>
      <c r="H266" s="1" t="s">
        <v>125</v>
      </c>
      <c r="I266" s="1">
        <v>912.33</v>
      </c>
      <c r="J266" s="1">
        <v>4</v>
      </c>
      <c r="K266" s="1">
        <v>20</v>
      </c>
      <c r="L266" s="1" t="s">
        <v>29</v>
      </c>
      <c r="M266" s="1">
        <v>3</v>
      </c>
      <c r="N266" s="1">
        <v>3</v>
      </c>
      <c r="O266" s="1">
        <v>2919.4560000000001</v>
      </c>
      <c r="P266" cm="1">
        <f t="array" ref="P266">_xlfn.IFS(O266&gt;=3000,20%,O266&gt;=1000,15%,O266&gt;=500,10%,O266&gt;=200,5%,O266&lt;200,0%)</f>
        <v>0.15</v>
      </c>
      <c r="Q266">
        <f t="shared" si="8"/>
        <v>437.91840000000002</v>
      </c>
      <c r="R266" t="str">
        <f t="shared" si="9"/>
        <v>Medium Risk</v>
      </c>
    </row>
    <row r="267" spans="1:18" x14ac:dyDescent="0.35">
      <c r="A267" s="1" t="s">
        <v>399</v>
      </c>
      <c r="B267" s="2">
        <v>45545</v>
      </c>
      <c r="C267" s="1" t="s">
        <v>143</v>
      </c>
      <c r="D267" s="1">
        <v>31</v>
      </c>
      <c r="E267" s="1" t="s">
        <v>32</v>
      </c>
      <c r="F267" s="1" t="s">
        <v>27</v>
      </c>
      <c r="G267" s="1" t="s">
        <v>38</v>
      </c>
      <c r="H267" s="1" t="s">
        <v>42</v>
      </c>
      <c r="I267" s="1">
        <v>561.05999999999995</v>
      </c>
      <c r="J267" s="1">
        <v>3</v>
      </c>
      <c r="K267" s="1">
        <v>0</v>
      </c>
      <c r="L267" s="1" t="s">
        <v>24</v>
      </c>
      <c r="M267" s="1">
        <v>5</v>
      </c>
      <c r="N267" s="1">
        <v>5</v>
      </c>
      <c r="O267" s="1">
        <v>1683.18</v>
      </c>
      <c r="P267" cm="1">
        <f t="array" ref="P267">_xlfn.IFS(O267&gt;=3000,20%,O267&gt;=1000,15%,O267&gt;=500,10%,O267&gt;=200,5%,O267&lt;200,0%)</f>
        <v>0.15</v>
      </c>
      <c r="Q267">
        <f t="shared" si="8"/>
        <v>252.477</v>
      </c>
      <c r="R267" t="str">
        <f t="shared" si="9"/>
        <v>Low Risk</v>
      </c>
    </row>
    <row r="268" spans="1:18" x14ac:dyDescent="0.35">
      <c r="A268" s="1" t="s">
        <v>400</v>
      </c>
      <c r="B268" s="2">
        <v>45431</v>
      </c>
      <c r="C268" s="1" t="s">
        <v>137</v>
      </c>
      <c r="D268" s="1">
        <v>19</v>
      </c>
      <c r="E268" s="1" t="s">
        <v>20</v>
      </c>
      <c r="F268" s="1" t="s">
        <v>21</v>
      </c>
      <c r="G268" s="1" t="s">
        <v>41</v>
      </c>
      <c r="H268" s="1" t="s">
        <v>35</v>
      </c>
      <c r="I268" s="1">
        <v>361.31</v>
      </c>
      <c r="J268" s="1">
        <v>2</v>
      </c>
      <c r="K268" s="1">
        <v>20</v>
      </c>
      <c r="L268" s="1" t="s">
        <v>52</v>
      </c>
      <c r="M268" s="1">
        <v>3</v>
      </c>
      <c r="N268" s="1">
        <v>9</v>
      </c>
      <c r="O268" s="1">
        <v>578.096</v>
      </c>
      <c r="P268" cm="1">
        <f t="array" ref="P268">_xlfn.IFS(O268&gt;=3000,20%,O268&gt;=1000,15%,O268&gt;=500,10%,O268&gt;=200,5%,O268&lt;200,0%)</f>
        <v>0.1</v>
      </c>
      <c r="Q268">
        <f t="shared" si="8"/>
        <v>57.809600000000003</v>
      </c>
      <c r="R268" t="str">
        <f t="shared" si="9"/>
        <v>Medium Risk</v>
      </c>
    </row>
    <row r="269" spans="1:18" x14ac:dyDescent="0.35">
      <c r="A269" s="1" t="s">
        <v>401</v>
      </c>
      <c r="B269" s="2">
        <v>45328</v>
      </c>
      <c r="C269" s="1" t="s">
        <v>204</v>
      </c>
      <c r="D269" s="1">
        <v>28</v>
      </c>
      <c r="E269" s="1" t="s">
        <v>20</v>
      </c>
      <c r="F269" s="1" t="s">
        <v>33</v>
      </c>
      <c r="G269" s="1" t="s">
        <v>47</v>
      </c>
      <c r="H269" s="1" t="s">
        <v>28</v>
      </c>
      <c r="I269" s="1">
        <v>1082.0999999999999</v>
      </c>
      <c r="J269" s="1">
        <v>2</v>
      </c>
      <c r="K269" s="1">
        <v>15</v>
      </c>
      <c r="L269" s="1" t="s">
        <v>52</v>
      </c>
      <c r="M269" s="1">
        <v>2</v>
      </c>
      <c r="N269" s="1">
        <v>6</v>
      </c>
      <c r="O269" s="1">
        <v>1839.57</v>
      </c>
      <c r="P269" cm="1">
        <f t="array" ref="P269">_xlfn.IFS(O269&gt;=3000,20%,O269&gt;=1000,15%,O269&gt;=500,10%,O269&gt;=200,5%,O269&lt;200,0%)</f>
        <v>0.15</v>
      </c>
      <c r="Q269">
        <f t="shared" si="8"/>
        <v>275.93549999999999</v>
      </c>
      <c r="R269" t="str">
        <f t="shared" si="9"/>
        <v>Medium Risk</v>
      </c>
    </row>
    <row r="270" spans="1:18" x14ac:dyDescent="0.35">
      <c r="A270" s="1" t="s">
        <v>402</v>
      </c>
      <c r="B270" s="2">
        <v>45451</v>
      </c>
      <c r="C270" s="1" t="s">
        <v>403</v>
      </c>
      <c r="D270" s="1">
        <v>56</v>
      </c>
      <c r="E270" s="1" t="s">
        <v>20</v>
      </c>
      <c r="F270" s="1" t="s">
        <v>21</v>
      </c>
      <c r="G270" s="1" t="s">
        <v>38</v>
      </c>
      <c r="H270" s="1" t="s">
        <v>35</v>
      </c>
      <c r="I270" s="1">
        <v>157.04</v>
      </c>
      <c r="J270" s="1">
        <v>1</v>
      </c>
      <c r="K270" s="1">
        <v>0</v>
      </c>
      <c r="L270" s="1" t="s">
        <v>29</v>
      </c>
      <c r="M270" s="1">
        <v>3</v>
      </c>
      <c r="N270" s="1">
        <v>9</v>
      </c>
      <c r="O270" s="1">
        <v>157.04</v>
      </c>
      <c r="P270" cm="1">
        <f t="array" ref="P270">_xlfn.IFS(O270&gt;=3000,20%,O270&gt;=1000,15%,O270&gt;=500,10%,O270&gt;=200,5%,O270&lt;200,0%)</f>
        <v>0</v>
      </c>
      <c r="Q270">
        <f t="shared" si="8"/>
        <v>0</v>
      </c>
      <c r="R270" t="str">
        <f t="shared" si="9"/>
        <v>Medium Risk</v>
      </c>
    </row>
    <row r="271" spans="1:18" x14ac:dyDescent="0.35">
      <c r="A271" s="1" t="s">
        <v>404</v>
      </c>
      <c r="B271" s="2">
        <v>45300</v>
      </c>
      <c r="C271" s="1" t="s">
        <v>40</v>
      </c>
      <c r="D271" s="1">
        <v>55</v>
      </c>
      <c r="E271" s="1" t="s">
        <v>32</v>
      </c>
      <c r="F271" s="1" t="s">
        <v>21</v>
      </c>
      <c r="G271" s="1" t="s">
        <v>41</v>
      </c>
      <c r="H271" s="1" t="s">
        <v>125</v>
      </c>
      <c r="I271" s="1">
        <v>1147.98</v>
      </c>
      <c r="J271" s="1">
        <v>4</v>
      </c>
      <c r="K271" s="1">
        <v>0</v>
      </c>
      <c r="L271" s="1" t="s">
        <v>29</v>
      </c>
      <c r="M271" s="1">
        <v>1</v>
      </c>
      <c r="N271" s="1">
        <v>6</v>
      </c>
      <c r="O271" s="1">
        <v>4591.92</v>
      </c>
      <c r="P271" cm="1">
        <f t="array" ref="P271">_xlfn.IFS(O271&gt;=3000,20%,O271&gt;=1000,15%,O271&gt;=500,10%,O271&gt;=200,5%,O271&lt;200,0%)</f>
        <v>0.2</v>
      </c>
      <c r="Q271">
        <f t="shared" si="8"/>
        <v>918.38400000000001</v>
      </c>
      <c r="R271" t="str">
        <f t="shared" si="9"/>
        <v>High Risk</v>
      </c>
    </row>
    <row r="272" spans="1:18" x14ac:dyDescent="0.35">
      <c r="A272" s="1" t="s">
        <v>405</v>
      </c>
      <c r="B272" s="2">
        <v>45524</v>
      </c>
      <c r="C272" s="1" t="s">
        <v>57</v>
      </c>
      <c r="D272" s="1">
        <v>51</v>
      </c>
      <c r="E272" s="1" t="s">
        <v>20</v>
      </c>
      <c r="F272" s="1" t="s">
        <v>46</v>
      </c>
      <c r="G272" s="1" t="s">
        <v>38</v>
      </c>
      <c r="H272" s="1" t="s">
        <v>23</v>
      </c>
      <c r="I272" s="1">
        <v>390.48</v>
      </c>
      <c r="J272" s="1">
        <v>3</v>
      </c>
      <c r="K272" s="1">
        <v>20</v>
      </c>
      <c r="L272" s="1" t="s">
        <v>52</v>
      </c>
      <c r="M272" s="1">
        <v>3</v>
      </c>
      <c r="N272" s="1">
        <v>2</v>
      </c>
      <c r="O272" s="1">
        <v>937.15200000000004</v>
      </c>
      <c r="P272" cm="1">
        <f t="array" ref="P272">_xlfn.IFS(O272&gt;=3000,20%,O272&gt;=1000,15%,O272&gt;=500,10%,O272&gt;=200,5%,O272&lt;200,0%)</f>
        <v>0.1</v>
      </c>
      <c r="Q272">
        <f t="shared" si="8"/>
        <v>93.71520000000001</v>
      </c>
      <c r="R272" t="str">
        <f t="shared" si="9"/>
        <v>Medium Risk</v>
      </c>
    </row>
    <row r="273" spans="1:18" x14ac:dyDescent="0.35">
      <c r="A273" s="1" t="s">
        <v>406</v>
      </c>
      <c r="B273" s="2">
        <v>45390</v>
      </c>
      <c r="C273" s="1" t="s">
        <v>107</v>
      </c>
      <c r="D273" s="1">
        <v>55</v>
      </c>
      <c r="E273" s="1" t="s">
        <v>20</v>
      </c>
      <c r="F273" s="1" t="s">
        <v>51</v>
      </c>
      <c r="G273" s="1" t="s">
        <v>47</v>
      </c>
      <c r="H273" s="1" t="s">
        <v>28</v>
      </c>
      <c r="I273" s="1">
        <v>1068.32</v>
      </c>
      <c r="J273" s="1">
        <v>1</v>
      </c>
      <c r="K273" s="1">
        <v>10</v>
      </c>
      <c r="L273" s="1" t="s">
        <v>29</v>
      </c>
      <c r="M273" s="1">
        <v>4</v>
      </c>
      <c r="N273" s="1">
        <v>5</v>
      </c>
      <c r="O273" s="1">
        <v>961.48800000000006</v>
      </c>
      <c r="P273" cm="1">
        <f t="array" ref="P273">_xlfn.IFS(O273&gt;=3000,20%,O273&gt;=1000,15%,O273&gt;=500,10%,O273&gt;=200,5%,O273&lt;200,0%)</f>
        <v>0.1</v>
      </c>
      <c r="Q273">
        <f t="shared" si="8"/>
        <v>96.148800000000008</v>
      </c>
      <c r="R273" t="str">
        <f t="shared" si="9"/>
        <v>Low Risk</v>
      </c>
    </row>
    <row r="274" spans="1:18" x14ac:dyDescent="0.35">
      <c r="A274" s="1" t="s">
        <v>407</v>
      </c>
      <c r="B274" s="2">
        <v>45438</v>
      </c>
      <c r="C274" s="1" t="s">
        <v>169</v>
      </c>
      <c r="D274" s="1">
        <v>51</v>
      </c>
      <c r="E274" s="1" t="s">
        <v>20</v>
      </c>
      <c r="F274" s="1" t="s">
        <v>51</v>
      </c>
      <c r="G274" s="1" t="s">
        <v>22</v>
      </c>
      <c r="H274" s="1" t="s">
        <v>125</v>
      </c>
      <c r="I274" s="1">
        <v>731.47</v>
      </c>
      <c r="J274" s="1">
        <v>1</v>
      </c>
      <c r="K274" s="1">
        <v>5</v>
      </c>
      <c r="L274" s="1" t="s">
        <v>43</v>
      </c>
      <c r="M274" s="1">
        <v>1</v>
      </c>
      <c r="N274" s="1">
        <v>9</v>
      </c>
      <c r="O274" s="1">
        <v>694.89649999999995</v>
      </c>
      <c r="P274" cm="1">
        <f t="array" ref="P274">_xlfn.IFS(O274&gt;=3000,20%,O274&gt;=1000,15%,O274&gt;=500,10%,O274&gt;=200,5%,O274&lt;200,0%)</f>
        <v>0.1</v>
      </c>
      <c r="Q274">
        <f t="shared" si="8"/>
        <v>69.489649999999997</v>
      </c>
      <c r="R274" t="str">
        <f t="shared" si="9"/>
        <v>High Risk</v>
      </c>
    </row>
    <row r="275" spans="1:18" x14ac:dyDescent="0.35">
      <c r="A275" s="1" t="s">
        <v>408</v>
      </c>
      <c r="B275" s="2">
        <v>45595</v>
      </c>
      <c r="C275" s="1" t="s">
        <v>219</v>
      </c>
      <c r="D275" s="1">
        <v>35</v>
      </c>
      <c r="E275" s="1" t="s">
        <v>32</v>
      </c>
      <c r="F275" s="1" t="s">
        <v>33</v>
      </c>
      <c r="G275" s="1" t="s">
        <v>22</v>
      </c>
      <c r="H275" s="1" t="s">
        <v>79</v>
      </c>
      <c r="I275" s="1">
        <v>995.51</v>
      </c>
      <c r="J275" s="1">
        <v>2</v>
      </c>
      <c r="K275" s="1">
        <v>10</v>
      </c>
      <c r="L275" s="1" t="s">
        <v>43</v>
      </c>
      <c r="M275" s="1">
        <v>5</v>
      </c>
      <c r="N275" s="1">
        <v>8</v>
      </c>
      <c r="O275" s="1">
        <v>1791.9179999999999</v>
      </c>
      <c r="P275" cm="1">
        <f t="array" ref="P275">_xlfn.IFS(O275&gt;=3000,20%,O275&gt;=1000,15%,O275&gt;=500,10%,O275&gt;=200,5%,O275&lt;200,0%)</f>
        <v>0.15</v>
      </c>
      <c r="Q275">
        <f t="shared" si="8"/>
        <v>268.78769999999997</v>
      </c>
      <c r="R275" t="str">
        <f t="shared" si="9"/>
        <v>Low Risk</v>
      </c>
    </row>
    <row r="276" spans="1:18" x14ac:dyDescent="0.35">
      <c r="A276" s="1" t="s">
        <v>409</v>
      </c>
      <c r="B276" s="2">
        <v>45499</v>
      </c>
      <c r="C276" s="1" t="s">
        <v>98</v>
      </c>
      <c r="D276" s="1">
        <v>47</v>
      </c>
      <c r="E276" s="1" t="s">
        <v>32</v>
      </c>
      <c r="F276" s="1" t="s">
        <v>33</v>
      </c>
      <c r="G276" s="1" t="s">
        <v>41</v>
      </c>
      <c r="H276" s="1" t="s">
        <v>79</v>
      </c>
      <c r="I276" s="1">
        <v>1181.1400000000001</v>
      </c>
      <c r="J276" s="1">
        <v>3</v>
      </c>
      <c r="K276" s="1">
        <v>20</v>
      </c>
      <c r="L276" s="1" t="s">
        <v>29</v>
      </c>
      <c r="M276" s="1">
        <v>4</v>
      </c>
      <c r="N276" s="1">
        <v>7</v>
      </c>
      <c r="O276" s="1">
        <v>2834.7359999999999</v>
      </c>
      <c r="P276" cm="1">
        <f t="array" ref="P276">_xlfn.IFS(O276&gt;=3000,20%,O276&gt;=1000,15%,O276&gt;=500,10%,O276&gt;=200,5%,O276&lt;200,0%)</f>
        <v>0.15</v>
      </c>
      <c r="Q276">
        <f t="shared" si="8"/>
        <v>425.21039999999999</v>
      </c>
      <c r="R276" t="str">
        <f t="shared" si="9"/>
        <v>Medium Risk</v>
      </c>
    </row>
    <row r="277" spans="1:18" x14ac:dyDescent="0.35">
      <c r="A277" s="1" t="s">
        <v>410</v>
      </c>
      <c r="B277" s="2">
        <v>45422</v>
      </c>
      <c r="C277" s="1" t="s">
        <v>54</v>
      </c>
      <c r="D277" s="1">
        <v>32</v>
      </c>
      <c r="E277" s="1" t="s">
        <v>32</v>
      </c>
      <c r="F277" s="1" t="s">
        <v>51</v>
      </c>
      <c r="G277" s="1" t="s">
        <v>34</v>
      </c>
      <c r="H277" s="1" t="s">
        <v>64</v>
      </c>
      <c r="I277" s="1">
        <v>360.32</v>
      </c>
      <c r="J277" s="1">
        <v>3</v>
      </c>
      <c r="K277" s="1">
        <v>5</v>
      </c>
      <c r="L277" s="1" t="s">
        <v>52</v>
      </c>
      <c r="M277" s="1">
        <v>2</v>
      </c>
      <c r="N277" s="1">
        <v>1</v>
      </c>
      <c r="O277" s="1">
        <v>1026.912</v>
      </c>
      <c r="P277" cm="1">
        <f t="array" ref="P277">_xlfn.IFS(O277&gt;=3000,20%,O277&gt;=1000,15%,O277&gt;=500,10%,O277&gt;=200,5%,O277&lt;200,0%)</f>
        <v>0.15</v>
      </c>
      <c r="Q277">
        <f t="shared" si="8"/>
        <v>154.0368</v>
      </c>
      <c r="R277" t="str">
        <f t="shared" si="9"/>
        <v>Medium Risk</v>
      </c>
    </row>
    <row r="278" spans="1:18" x14ac:dyDescent="0.35">
      <c r="A278" s="1" t="s">
        <v>411</v>
      </c>
      <c r="B278" s="2">
        <v>45443</v>
      </c>
      <c r="C278" s="1" t="s">
        <v>270</v>
      </c>
      <c r="D278" s="1">
        <v>44</v>
      </c>
      <c r="E278" s="1" t="s">
        <v>20</v>
      </c>
      <c r="F278" s="1" t="s">
        <v>46</v>
      </c>
      <c r="G278" s="1" t="s">
        <v>41</v>
      </c>
      <c r="H278" s="1" t="s">
        <v>96</v>
      </c>
      <c r="I278" s="1">
        <v>1154.1400000000001</v>
      </c>
      <c r="J278" s="1">
        <v>3</v>
      </c>
      <c r="K278" s="1">
        <v>10</v>
      </c>
      <c r="L278" s="1" t="s">
        <v>24</v>
      </c>
      <c r="M278" s="1">
        <v>2</v>
      </c>
      <c r="N278" s="1">
        <v>4</v>
      </c>
      <c r="O278" s="1">
        <v>3116.1779999999999</v>
      </c>
      <c r="P278" cm="1">
        <f t="array" ref="P278">_xlfn.IFS(O278&gt;=3000,20%,O278&gt;=1000,15%,O278&gt;=500,10%,O278&gt;=200,5%,O278&lt;200,0%)</f>
        <v>0.2</v>
      </c>
      <c r="Q278">
        <f t="shared" si="8"/>
        <v>623.23559999999998</v>
      </c>
      <c r="R278" t="str">
        <f t="shared" si="9"/>
        <v>Medium Risk</v>
      </c>
    </row>
    <row r="279" spans="1:18" x14ac:dyDescent="0.35">
      <c r="A279" s="1" t="s">
        <v>412</v>
      </c>
      <c r="B279" s="2">
        <v>45345</v>
      </c>
      <c r="C279" s="1" t="s">
        <v>310</v>
      </c>
      <c r="D279" s="1">
        <v>51</v>
      </c>
      <c r="E279" s="1" t="s">
        <v>20</v>
      </c>
      <c r="F279" s="1" t="s">
        <v>51</v>
      </c>
      <c r="G279" s="1" t="s">
        <v>34</v>
      </c>
      <c r="H279" s="1" t="s">
        <v>42</v>
      </c>
      <c r="I279" s="1">
        <v>479.59</v>
      </c>
      <c r="J279" s="1">
        <v>2</v>
      </c>
      <c r="K279" s="1">
        <v>5</v>
      </c>
      <c r="L279" s="1" t="s">
        <v>29</v>
      </c>
      <c r="M279" s="1">
        <v>2</v>
      </c>
      <c r="N279" s="1">
        <v>7</v>
      </c>
      <c r="O279" s="1">
        <v>911.221</v>
      </c>
      <c r="P279" cm="1">
        <f t="array" ref="P279">_xlfn.IFS(O279&gt;=3000,20%,O279&gt;=1000,15%,O279&gt;=500,10%,O279&gt;=200,5%,O279&lt;200,0%)</f>
        <v>0.1</v>
      </c>
      <c r="Q279">
        <f t="shared" si="8"/>
        <v>91.122100000000003</v>
      </c>
      <c r="R279" t="str">
        <f t="shared" si="9"/>
        <v>Medium Risk</v>
      </c>
    </row>
    <row r="280" spans="1:18" x14ac:dyDescent="0.35">
      <c r="A280" s="1" t="s">
        <v>413</v>
      </c>
      <c r="B280" s="2">
        <v>45411</v>
      </c>
      <c r="C280" s="1" t="s">
        <v>57</v>
      </c>
      <c r="D280" s="1">
        <v>55</v>
      </c>
      <c r="E280" s="1" t="s">
        <v>20</v>
      </c>
      <c r="F280" s="1" t="s">
        <v>46</v>
      </c>
      <c r="G280" s="1" t="s">
        <v>38</v>
      </c>
      <c r="H280" s="1" t="s">
        <v>55</v>
      </c>
      <c r="I280" s="1">
        <v>474.9</v>
      </c>
      <c r="J280" s="1">
        <v>2</v>
      </c>
      <c r="K280" s="1">
        <v>0</v>
      </c>
      <c r="L280" s="1" t="s">
        <v>29</v>
      </c>
      <c r="M280" s="1">
        <v>4</v>
      </c>
      <c r="N280" s="1">
        <v>7</v>
      </c>
      <c r="O280" s="1">
        <v>949.8</v>
      </c>
      <c r="P280" cm="1">
        <f t="array" ref="P280">_xlfn.IFS(O280&gt;=3000,20%,O280&gt;=1000,15%,O280&gt;=500,10%,O280&gt;=200,5%,O280&lt;200,0%)</f>
        <v>0.1</v>
      </c>
      <c r="Q280">
        <f t="shared" si="8"/>
        <v>94.98</v>
      </c>
      <c r="R280" t="str">
        <f t="shared" si="9"/>
        <v>Low Risk</v>
      </c>
    </row>
    <row r="281" spans="1:18" x14ac:dyDescent="0.35">
      <c r="A281" s="1" t="s">
        <v>414</v>
      </c>
      <c r="B281" s="2">
        <v>45452</v>
      </c>
      <c r="C281" s="1" t="s">
        <v>98</v>
      </c>
      <c r="D281" s="1">
        <v>50</v>
      </c>
      <c r="E281" s="1" t="s">
        <v>32</v>
      </c>
      <c r="F281" s="1" t="s">
        <v>33</v>
      </c>
      <c r="G281" s="1" t="s">
        <v>38</v>
      </c>
      <c r="H281" s="1" t="s">
        <v>48</v>
      </c>
      <c r="I281" s="1">
        <v>421.66</v>
      </c>
      <c r="J281" s="1">
        <v>2</v>
      </c>
      <c r="K281" s="1">
        <v>10</v>
      </c>
      <c r="L281" s="1" t="s">
        <v>24</v>
      </c>
      <c r="M281" s="1">
        <v>4</v>
      </c>
      <c r="N281" s="1">
        <v>6</v>
      </c>
      <c r="O281" s="1">
        <v>758.98800000000006</v>
      </c>
      <c r="P281" cm="1">
        <f t="array" ref="P281">_xlfn.IFS(O281&gt;=3000,20%,O281&gt;=1000,15%,O281&gt;=500,10%,O281&gt;=200,5%,O281&lt;200,0%)</f>
        <v>0.1</v>
      </c>
      <c r="Q281">
        <f t="shared" si="8"/>
        <v>75.898800000000008</v>
      </c>
      <c r="R281" t="str">
        <f t="shared" si="9"/>
        <v>Low Risk</v>
      </c>
    </row>
    <row r="282" spans="1:18" x14ac:dyDescent="0.35">
      <c r="A282" s="1" t="s">
        <v>415</v>
      </c>
      <c r="B282" s="2">
        <v>45407</v>
      </c>
      <c r="C282" s="1" t="s">
        <v>315</v>
      </c>
      <c r="E282" s="1" t="s">
        <v>32</v>
      </c>
      <c r="G282" s="1" t="s">
        <v>47</v>
      </c>
      <c r="H282" s="1" t="s">
        <v>125</v>
      </c>
      <c r="I282" s="1">
        <v>658.86</v>
      </c>
      <c r="J282" s="1">
        <v>2</v>
      </c>
      <c r="K282" s="1">
        <v>5</v>
      </c>
      <c r="L282" s="1" t="s">
        <v>29</v>
      </c>
      <c r="N282" s="1">
        <v>8</v>
      </c>
      <c r="O282" s="1">
        <v>1251.8340000000001</v>
      </c>
      <c r="P282" cm="1">
        <f t="array" ref="P282">_xlfn.IFS(O282&gt;=3000,20%,O282&gt;=1000,15%,O282&gt;=500,10%,O282&gt;=200,5%,O282&lt;200,0%)</f>
        <v>0.15</v>
      </c>
      <c r="Q282">
        <f t="shared" si="8"/>
        <v>187.77510000000001</v>
      </c>
      <c r="R282" t="str">
        <f t="shared" si="9"/>
        <v>Missing Data</v>
      </c>
    </row>
    <row r="283" spans="1:18" x14ac:dyDescent="0.35">
      <c r="A283" s="1" t="s">
        <v>416</v>
      </c>
      <c r="B283" s="2">
        <v>45366</v>
      </c>
      <c r="C283" s="1" t="s">
        <v>216</v>
      </c>
      <c r="D283" s="1">
        <v>32</v>
      </c>
      <c r="E283" s="1" t="s">
        <v>20</v>
      </c>
      <c r="F283" s="1" t="s">
        <v>33</v>
      </c>
      <c r="G283" s="1" t="s">
        <v>34</v>
      </c>
      <c r="H283" s="1" t="s">
        <v>23</v>
      </c>
      <c r="I283" s="1">
        <v>201.89</v>
      </c>
      <c r="J283" s="1">
        <v>2</v>
      </c>
      <c r="K283" s="1">
        <v>5</v>
      </c>
      <c r="L283" s="1" t="s">
        <v>24</v>
      </c>
      <c r="M283" s="1">
        <v>1</v>
      </c>
      <c r="N283" s="1">
        <v>6</v>
      </c>
      <c r="O283" s="1">
        <v>383.59100000000001</v>
      </c>
      <c r="P283" cm="1">
        <f t="array" ref="P283">_xlfn.IFS(O283&gt;=3000,20%,O283&gt;=1000,15%,O283&gt;=500,10%,O283&gt;=200,5%,O283&lt;200,0%)</f>
        <v>0.05</v>
      </c>
      <c r="Q283">
        <f t="shared" si="8"/>
        <v>19.179550000000003</v>
      </c>
      <c r="R283" t="str">
        <f t="shared" si="9"/>
        <v>High Risk</v>
      </c>
    </row>
    <row r="284" spans="1:18" x14ac:dyDescent="0.35">
      <c r="A284" s="1" t="s">
        <v>417</v>
      </c>
      <c r="B284" s="2">
        <v>45404</v>
      </c>
      <c r="C284" s="1" t="s">
        <v>26</v>
      </c>
      <c r="D284" s="1">
        <v>47</v>
      </c>
      <c r="E284" s="1" t="s">
        <v>32</v>
      </c>
      <c r="F284" s="1" t="s">
        <v>33</v>
      </c>
      <c r="G284" s="1" t="s">
        <v>47</v>
      </c>
      <c r="H284" s="1" t="s">
        <v>48</v>
      </c>
      <c r="I284" s="1">
        <v>673.38</v>
      </c>
      <c r="J284" s="1">
        <v>4</v>
      </c>
      <c r="K284" s="1">
        <v>5</v>
      </c>
      <c r="L284" s="1" t="s">
        <v>52</v>
      </c>
      <c r="N284" s="1">
        <v>3</v>
      </c>
      <c r="O284" s="1">
        <v>2558.8440000000001</v>
      </c>
      <c r="P284" cm="1">
        <f t="array" ref="P284">_xlfn.IFS(O284&gt;=3000,20%,O284&gt;=1000,15%,O284&gt;=500,10%,O284&gt;=200,5%,O284&lt;200,0%)</f>
        <v>0.15</v>
      </c>
      <c r="Q284">
        <f t="shared" si="8"/>
        <v>383.82659999999998</v>
      </c>
      <c r="R284" t="str">
        <f t="shared" si="9"/>
        <v>Missing Data</v>
      </c>
    </row>
    <row r="285" spans="1:18" x14ac:dyDescent="0.35">
      <c r="A285" s="1" t="s">
        <v>418</v>
      </c>
      <c r="B285" s="2">
        <v>45395</v>
      </c>
      <c r="C285" s="1" t="s">
        <v>419</v>
      </c>
      <c r="D285" s="1">
        <v>59</v>
      </c>
      <c r="E285" s="1" t="s">
        <v>32</v>
      </c>
      <c r="F285" s="1" t="s">
        <v>21</v>
      </c>
      <c r="G285" s="1" t="s">
        <v>22</v>
      </c>
      <c r="H285" s="1" t="s">
        <v>23</v>
      </c>
      <c r="I285" s="1">
        <v>659.21</v>
      </c>
      <c r="J285" s="1">
        <v>4</v>
      </c>
      <c r="K285" s="1">
        <v>10</v>
      </c>
      <c r="L285" s="1" t="s">
        <v>43</v>
      </c>
      <c r="M285" s="1">
        <v>1</v>
      </c>
      <c r="N285" s="1">
        <v>4</v>
      </c>
      <c r="O285" s="1">
        <v>2373.1559999999999</v>
      </c>
      <c r="P285" cm="1">
        <f t="array" ref="P285">_xlfn.IFS(O285&gt;=3000,20%,O285&gt;=1000,15%,O285&gt;=500,10%,O285&gt;=200,5%,O285&lt;200,0%)</f>
        <v>0.15</v>
      </c>
      <c r="Q285">
        <f t="shared" si="8"/>
        <v>355.97339999999997</v>
      </c>
      <c r="R285" t="str">
        <f t="shared" si="9"/>
        <v>High Risk</v>
      </c>
    </row>
    <row r="286" spans="1:18" x14ac:dyDescent="0.35">
      <c r="A286" s="1" t="s">
        <v>420</v>
      </c>
      <c r="B286" s="2">
        <v>45631</v>
      </c>
      <c r="C286" s="1" t="s">
        <v>118</v>
      </c>
      <c r="D286" s="1">
        <v>34</v>
      </c>
      <c r="E286" s="1" t="s">
        <v>32</v>
      </c>
      <c r="F286" s="1" t="s">
        <v>21</v>
      </c>
      <c r="G286" s="1" t="s">
        <v>34</v>
      </c>
      <c r="H286" s="1" t="s">
        <v>48</v>
      </c>
      <c r="I286" s="1">
        <v>919.04</v>
      </c>
      <c r="J286" s="1">
        <v>3</v>
      </c>
      <c r="K286" s="1">
        <v>15</v>
      </c>
      <c r="L286" s="1" t="s">
        <v>52</v>
      </c>
      <c r="M286" s="1">
        <v>2</v>
      </c>
      <c r="N286" s="1">
        <v>3</v>
      </c>
      <c r="O286" s="1">
        <v>2343.5520000000001</v>
      </c>
      <c r="P286" cm="1">
        <f t="array" ref="P286">_xlfn.IFS(O286&gt;=3000,20%,O286&gt;=1000,15%,O286&gt;=500,10%,O286&gt;=200,5%,O286&lt;200,0%)</f>
        <v>0.15</v>
      </c>
      <c r="Q286">
        <f t="shared" si="8"/>
        <v>351.53280000000001</v>
      </c>
      <c r="R286" t="str">
        <f t="shared" si="9"/>
        <v>Medium Risk</v>
      </c>
    </row>
    <row r="287" spans="1:18" x14ac:dyDescent="0.35">
      <c r="A287" s="1" t="s">
        <v>421</v>
      </c>
      <c r="B287" s="2">
        <v>45545</v>
      </c>
      <c r="C287" s="1" t="s">
        <v>164</v>
      </c>
      <c r="D287" s="1">
        <v>22</v>
      </c>
      <c r="E287" s="1" t="s">
        <v>32</v>
      </c>
      <c r="F287" s="1" t="s">
        <v>21</v>
      </c>
      <c r="G287" s="1" t="s">
        <v>41</v>
      </c>
      <c r="H287" s="1" t="s">
        <v>125</v>
      </c>
      <c r="I287" s="1">
        <v>1003.71</v>
      </c>
      <c r="J287" s="1">
        <v>1</v>
      </c>
      <c r="K287" s="1">
        <v>10</v>
      </c>
      <c r="L287" s="1" t="s">
        <v>43</v>
      </c>
      <c r="N287" s="1">
        <v>1</v>
      </c>
      <c r="O287" s="1">
        <v>903.33900000000006</v>
      </c>
      <c r="P287" cm="1">
        <f t="array" ref="P287">_xlfn.IFS(O287&gt;=3000,20%,O287&gt;=1000,15%,O287&gt;=500,10%,O287&gt;=200,5%,O287&lt;200,0%)</f>
        <v>0.1</v>
      </c>
      <c r="Q287">
        <f t="shared" si="8"/>
        <v>90.333900000000014</v>
      </c>
      <c r="R287" t="str">
        <f t="shared" si="9"/>
        <v>Missing Data</v>
      </c>
    </row>
    <row r="288" spans="1:18" x14ac:dyDescent="0.35">
      <c r="A288" s="1" t="s">
        <v>422</v>
      </c>
      <c r="B288" s="2">
        <v>45518</v>
      </c>
      <c r="C288" s="1" t="s">
        <v>93</v>
      </c>
      <c r="D288" s="1">
        <v>46</v>
      </c>
      <c r="E288" s="1" t="s">
        <v>20</v>
      </c>
      <c r="F288" s="1" t="s">
        <v>21</v>
      </c>
      <c r="G288" s="1" t="s">
        <v>22</v>
      </c>
      <c r="H288" s="1" t="s">
        <v>55</v>
      </c>
      <c r="I288" s="1">
        <v>539.72</v>
      </c>
      <c r="J288" s="1">
        <v>3</v>
      </c>
      <c r="K288" s="1">
        <v>20</v>
      </c>
      <c r="L288" s="1" t="s">
        <v>24</v>
      </c>
      <c r="M288" s="1">
        <v>3</v>
      </c>
      <c r="N288" s="1">
        <v>5</v>
      </c>
      <c r="O288" s="1">
        <v>1295.328</v>
      </c>
      <c r="P288" cm="1">
        <f t="array" ref="P288">_xlfn.IFS(O288&gt;=3000,20%,O288&gt;=1000,15%,O288&gt;=500,10%,O288&gt;=200,5%,O288&lt;200,0%)</f>
        <v>0.15</v>
      </c>
      <c r="Q288">
        <f t="shared" si="8"/>
        <v>194.29919999999998</v>
      </c>
      <c r="R288" t="str">
        <f t="shared" si="9"/>
        <v>Medium Risk</v>
      </c>
    </row>
    <row r="289" spans="1:18" x14ac:dyDescent="0.35">
      <c r="A289" s="1" t="s">
        <v>423</v>
      </c>
      <c r="B289" s="2">
        <v>45403</v>
      </c>
      <c r="C289" s="1" t="s">
        <v>63</v>
      </c>
      <c r="D289" s="1">
        <v>21</v>
      </c>
      <c r="E289" s="1" t="s">
        <v>32</v>
      </c>
      <c r="F289" s="1" t="s">
        <v>46</v>
      </c>
      <c r="G289" s="1" t="s">
        <v>22</v>
      </c>
      <c r="H289" s="1" t="s">
        <v>48</v>
      </c>
      <c r="I289" s="1">
        <v>376.75</v>
      </c>
      <c r="J289" s="1">
        <v>1</v>
      </c>
      <c r="K289" s="1">
        <v>10</v>
      </c>
      <c r="L289" s="1" t="s">
        <v>43</v>
      </c>
      <c r="M289" s="1">
        <v>2</v>
      </c>
      <c r="N289" s="1">
        <v>1</v>
      </c>
      <c r="O289" s="1">
        <v>339.07499999999999</v>
      </c>
      <c r="P289" cm="1">
        <f t="array" ref="P289">_xlfn.IFS(O289&gt;=3000,20%,O289&gt;=1000,15%,O289&gt;=500,10%,O289&gt;=200,5%,O289&lt;200,0%)</f>
        <v>0.05</v>
      </c>
      <c r="Q289">
        <f t="shared" si="8"/>
        <v>16.953749999999999</v>
      </c>
      <c r="R289" t="str">
        <f t="shared" si="9"/>
        <v>Medium Risk</v>
      </c>
    </row>
    <row r="290" spans="1:18" x14ac:dyDescent="0.35">
      <c r="A290" s="1" t="s">
        <v>424</v>
      </c>
      <c r="B290" s="2">
        <v>45390</v>
      </c>
      <c r="C290" s="1" t="s">
        <v>134</v>
      </c>
      <c r="D290" s="1">
        <v>27</v>
      </c>
      <c r="E290" s="1" t="s">
        <v>32</v>
      </c>
      <c r="F290" s="1" t="s">
        <v>51</v>
      </c>
      <c r="G290" s="1" t="s">
        <v>41</v>
      </c>
      <c r="H290" s="1" t="s">
        <v>125</v>
      </c>
      <c r="I290" s="1">
        <v>326.02</v>
      </c>
      <c r="J290" s="1">
        <v>2</v>
      </c>
      <c r="K290" s="1">
        <v>5</v>
      </c>
      <c r="L290" s="1" t="s">
        <v>52</v>
      </c>
      <c r="M290" s="1">
        <v>5</v>
      </c>
      <c r="N290" s="1">
        <v>1</v>
      </c>
      <c r="O290" s="1">
        <v>619.43799999999999</v>
      </c>
      <c r="P290" cm="1">
        <f t="array" ref="P290">_xlfn.IFS(O290&gt;=3000,20%,O290&gt;=1000,15%,O290&gt;=500,10%,O290&gt;=200,5%,O290&lt;200,0%)</f>
        <v>0.1</v>
      </c>
      <c r="Q290">
        <f t="shared" si="8"/>
        <v>61.943800000000003</v>
      </c>
      <c r="R290" t="str">
        <f t="shared" si="9"/>
        <v>Low Risk</v>
      </c>
    </row>
    <row r="291" spans="1:18" x14ac:dyDescent="0.35">
      <c r="A291" s="1" t="s">
        <v>425</v>
      </c>
      <c r="B291" s="2">
        <v>45444</v>
      </c>
      <c r="C291" s="1" t="s">
        <v>148</v>
      </c>
      <c r="D291" s="1">
        <v>34</v>
      </c>
      <c r="E291" s="1" t="s">
        <v>32</v>
      </c>
      <c r="F291" s="1" t="s">
        <v>27</v>
      </c>
      <c r="G291" s="1" t="s">
        <v>22</v>
      </c>
      <c r="H291" s="1" t="s">
        <v>35</v>
      </c>
      <c r="I291" s="1">
        <v>249.66</v>
      </c>
      <c r="J291" s="1">
        <v>1</v>
      </c>
      <c r="K291" s="1">
        <v>0</v>
      </c>
      <c r="L291" s="1" t="s">
        <v>43</v>
      </c>
      <c r="M291" s="1">
        <v>1</v>
      </c>
      <c r="N291" s="1">
        <v>2</v>
      </c>
      <c r="O291" s="1">
        <v>249.66</v>
      </c>
      <c r="P291" cm="1">
        <f t="array" ref="P291">_xlfn.IFS(O291&gt;=3000,20%,O291&gt;=1000,15%,O291&gt;=500,10%,O291&gt;=200,5%,O291&lt;200,0%)</f>
        <v>0.05</v>
      </c>
      <c r="Q291">
        <f t="shared" si="8"/>
        <v>12.483000000000001</v>
      </c>
      <c r="R291" t="str">
        <f t="shared" si="9"/>
        <v>High Risk</v>
      </c>
    </row>
    <row r="292" spans="1:18" x14ac:dyDescent="0.35">
      <c r="A292" s="1" t="s">
        <v>426</v>
      </c>
      <c r="B292" s="2">
        <v>45640</v>
      </c>
      <c r="C292" s="1" t="s">
        <v>156</v>
      </c>
      <c r="D292" s="1">
        <v>27</v>
      </c>
      <c r="E292" s="1" t="s">
        <v>32</v>
      </c>
      <c r="F292" s="1" t="s">
        <v>33</v>
      </c>
      <c r="G292" s="1" t="s">
        <v>34</v>
      </c>
      <c r="H292" s="1" t="s">
        <v>55</v>
      </c>
      <c r="I292" s="1">
        <v>88.02</v>
      </c>
      <c r="J292" s="1">
        <v>3</v>
      </c>
      <c r="K292" s="1">
        <v>10</v>
      </c>
      <c r="L292" s="1" t="s">
        <v>24</v>
      </c>
      <c r="M292" s="1">
        <v>4</v>
      </c>
      <c r="N292" s="1">
        <v>4</v>
      </c>
      <c r="O292" s="1">
        <v>237.654</v>
      </c>
      <c r="P292" cm="1">
        <f t="array" ref="P292">_xlfn.IFS(O292&gt;=3000,20%,O292&gt;=1000,15%,O292&gt;=500,10%,O292&gt;=200,5%,O292&lt;200,0%)</f>
        <v>0.05</v>
      </c>
      <c r="Q292">
        <f t="shared" si="8"/>
        <v>11.8827</v>
      </c>
      <c r="R292" t="str">
        <f t="shared" si="9"/>
        <v>Low Risk</v>
      </c>
    </row>
    <row r="293" spans="1:18" x14ac:dyDescent="0.35">
      <c r="A293" s="1" t="s">
        <v>427</v>
      </c>
      <c r="B293" s="2">
        <v>45629</v>
      </c>
      <c r="C293" s="1" t="s">
        <v>174</v>
      </c>
      <c r="D293" s="1">
        <v>34</v>
      </c>
      <c r="E293" s="1" t="s">
        <v>20</v>
      </c>
      <c r="F293" s="1" t="s">
        <v>46</v>
      </c>
      <c r="G293" s="1" t="s">
        <v>47</v>
      </c>
      <c r="H293" s="1" t="s">
        <v>28</v>
      </c>
      <c r="I293" s="1">
        <v>424.09</v>
      </c>
      <c r="J293" s="1">
        <v>3</v>
      </c>
      <c r="K293" s="1">
        <v>10</v>
      </c>
      <c r="L293" s="1" t="s">
        <v>43</v>
      </c>
      <c r="M293" s="1">
        <v>1</v>
      </c>
      <c r="N293" s="1">
        <v>6</v>
      </c>
      <c r="O293" s="1">
        <v>1145.0429999999999</v>
      </c>
      <c r="P293" cm="1">
        <f t="array" ref="P293">_xlfn.IFS(O293&gt;=3000,20%,O293&gt;=1000,15%,O293&gt;=500,10%,O293&gt;=200,5%,O293&lt;200,0%)</f>
        <v>0.15</v>
      </c>
      <c r="Q293">
        <f t="shared" si="8"/>
        <v>171.75644999999997</v>
      </c>
      <c r="R293" t="str">
        <f t="shared" si="9"/>
        <v>High Risk</v>
      </c>
    </row>
    <row r="294" spans="1:18" x14ac:dyDescent="0.35">
      <c r="A294" s="1" t="s">
        <v>428</v>
      </c>
      <c r="B294" s="2">
        <v>45485</v>
      </c>
      <c r="C294" s="1" t="s">
        <v>72</v>
      </c>
      <c r="D294" s="1">
        <v>37</v>
      </c>
      <c r="E294" s="1" t="s">
        <v>20</v>
      </c>
      <c r="F294" s="1" t="s">
        <v>27</v>
      </c>
      <c r="G294" s="1" t="s">
        <v>22</v>
      </c>
      <c r="H294" s="1" t="s">
        <v>23</v>
      </c>
      <c r="I294" s="1">
        <v>338.89</v>
      </c>
      <c r="J294" s="1">
        <v>1</v>
      </c>
      <c r="K294" s="1">
        <v>5</v>
      </c>
      <c r="L294" s="1" t="s">
        <v>29</v>
      </c>
      <c r="M294" s="1">
        <v>4</v>
      </c>
      <c r="N294" s="1">
        <v>8</v>
      </c>
      <c r="O294" s="1">
        <v>321.94549999999998</v>
      </c>
      <c r="P294" cm="1">
        <f t="array" ref="P294">_xlfn.IFS(O294&gt;=3000,20%,O294&gt;=1000,15%,O294&gt;=500,10%,O294&gt;=200,5%,O294&lt;200,0%)</f>
        <v>0.05</v>
      </c>
      <c r="Q294">
        <f t="shared" si="8"/>
        <v>16.097275</v>
      </c>
      <c r="R294" t="str">
        <f t="shared" si="9"/>
        <v>Low Risk</v>
      </c>
    </row>
    <row r="295" spans="1:18" x14ac:dyDescent="0.35">
      <c r="A295" s="1" t="s">
        <v>429</v>
      </c>
      <c r="B295" s="2">
        <v>45601</v>
      </c>
      <c r="C295" s="1" t="s">
        <v>50</v>
      </c>
      <c r="D295" s="1">
        <v>41</v>
      </c>
      <c r="E295" s="1" t="s">
        <v>32</v>
      </c>
      <c r="F295" s="1" t="s">
        <v>46</v>
      </c>
      <c r="G295" s="1" t="s">
        <v>34</v>
      </c>
      <c r="H295" s="1" t="s">
        <v>79</v>
      </c>
      <c r="I295" s="1">
        <v>1160.3699999999999</v>
      </c>
      <c r="J295" s="1">
        <v>4</v>
      </c>
      <c r="K295" s="1">
        <v>0</v>
      </c>
      <c r="L295" s="1" t="s">
        <v>52</v>
      </c>
      <c r="N295" s="1">
        <v>3</v>
      </c>
      <c r="O295" s="1">
        <v>4641.4799999999996</v>
      </c>
      <c r="P295" cm="1">
        <f t="array" ref="P295">_xlfn.IFS(O295&gt;=3000,20%,O295&gt;=1000,15%,O295&gt;=500,10%,O295&gt;=200,5%,O295&lt;200,0%)</f>
        <v>0.2</v>
      </c>
      <c r="Q295">
        <f t="shared" si="8"/>
        <v>928.29599999999994</v>
      </c>
      <c r="R295" t="str">
        <f t="shared" si="9"/>
        <v>Missing Data</v>
      </c>
    </row>
    <row r="296" spans="1:18" x14ac:dyDescent="0.35">
      <c r="A296" s="1" t="s">
        <v>430</v>
      </c>
      <c r="B296" s="2">
        <v>45454</v>
      </c>
      <c r="C296" s="1" t="s">
        <v>233</v>
      </c>
      <c r="D296" s="1">
        <v>22</v>
      </c>
      <c r="E296" s="1" t="s">
        <v>32</v>
      </c>
      <c r="F296" s="1" t="s">
        <v>46</v>
      </c>
      <c r="G296" s="1" t="s">
        <v>38</v>
      </c>
      <c r="H296" s="1" t="s">
        <v>96</v>
      </c>
      <c r="I296" s="1">
        <v>678.1</v>
      </c>
      <c r="J296" s="1">
        <v>2</v>
      </c>
      <c r="K296" s="1">
        <v>0</v>
      </c>
      <c r="L296" s="1" t="s">
        <v>29</v>
      </c>
      <c r="M296" s="1">
        <v>5</v>
      </c>
      <c r="N296" s="1">
        <v>1</v>
      </c>
      <c r="O296" s="1">
        <v>1356.2</v>
      </c>
      <c r="P296" cm="1">
        <f t="array" ref="P296">_xlfn.IFS(O296&gt;=3000,20%,O296&gt;=1000,15%,O296&gt;=500,10%,O296&gt;=200,5%,O296&lt;200,0%)</f>
        <v>0.15</v>
      </c>
      <c r="Q296">
        <f t="shared" si="8"/>
        <v>203.43</v>
      </c>
      <c r="R296" t="str">
        <f t="shared" si="9"/>
        <v>Low Risk</v>
      </c>
    </row>
    <row r="297" spans="1:18" x14ac:dyDescent="0.35">
      <c r="A297" s="1" t="s">
        <v>431</v>
      </c>
      <c r="B297" s="2">
        <v>45499</v>
      </c>
      <c r="C297" s="1" t="s">
        <v>143</v>
      </c>
      <c r="D297" s="1">
        <v>51</v>
      </c>
      <c r="E297" s="1" t="s">
        <v>32</v>
      </c>
      <c r="F297" s="1" t="s">
        <v>33</v>
      </c>
      <c r="G297" s="1" t="s">
        <v>34</v>
      </c>
      <c r="H297" s="1" t="s">
        <v>79</v>
      </c>
      <c r="I297" s="1">
        <v>429.79</v>
      </c>
      <c r="J297" s="1">
        <v>2</v>
      </c>
      <c r="K297" s="1">
        <v>20</v>
      </c>
      <c r="L297" s="1" t="s">
        <v>24</v>
      </c>
      <c r="N297" s="1">
        <v>3</v>
      </c>
      <c r="O297" s="1">
        <v>687.66399999999999</v>
      </c>
      <c r="P297" cm="1">
        <f t="array" ref="P297">_xlfn.IFS(O297&gt;=3000,20%,O297&gt;=1000,15%,O297&gt;=500,10%,O297&gt;=200,5%,O297&lt;200,0%)</f>
        <v>0.1</v>
      </c>
      <c r="Q297">
        <f t="shared" si="8"/>
        <v>68.766400000000004</v>
      </c>
      <c r="R297" t="str">
        <f t="shared" si="9"/>
        <v>Missing Data</v>
      </c>
    </row>
    <row r="298" spans="1:18" x14ac:dyDescent="0.35">
      <c r="A298" s="1" t="s">
        <v>432</v>
      </c>
      <c r="B298" s="2">
        <v>45460</v>
      </c>
      <c r="C298" s="1" t="s">
        <v>57</v>
      </c>
      <c r="D298" s="1">
        <v>23</v>
      </c>
      <c r="E298" s="1" t="s">
        <v>32</v>
      </c>
      <c r="F298" s="1" t="s">
        <v>51</v>
      </c>
      <c r="G298" s="1" t="s">
        <v>47</v>
      </c>
      <c r="H298" s="1" t="s">
        <v>55</v>
      </c>
      <c r="I298" s="1">
        <v>704.95</v>
      </c>
      <c r="J298" s="1">
        <v>3</v>
      </c>
      <c r="K298" s="1">
        <v>10</v>
      </c>
      <c r="L298" s="1" t="s">
        <v>43</v>
      </c>
      <c r="M298" s="1">
        <v>5</v>
      </c>
      <c r="N298" s="1">
        <v>3</v>
      </c>
      <c r="O298" s="1">
        <v>1903.365</v>
      </c>
      <c r="P298" cm="1">
        <f t="array" ref="P298">_xlfn.IFS(O298&gt;=3000,20%,O298&gt;=1000,15%,O298&gt;=500,10%,O298&gt;=200,5%,O298&lt;200,0%)</f>
        <v>0.15</v>
      </c>
      <c r="Q298">
        <f t="shared" si="8"/>
        <v>285.50475</v>
      </c>
      <c r="R298" t="str">
        <f t="shared" si="9"/>
        <v>Low Risk</v>
      </c>
    </row>
    <row r="299" spans="1:18" x14ac:dyDescent="0.35">
      <c r="A299" s="1" t="s">
        <v>433</v>
      </c>
      <c r="B299" s="2">
        <v>45452</v>
      </c>
      <c r="C299" s="1" t="s">
        <v>201</v>
      </c>
      <c r="D299" s="1">
        <v>19</v>
      </c>
      <c r="E299" s="1" t="s">
        <v>32</v>
      </c>
      <c r="F299" s="1" t="s">
        <v>21</v>
      </c>
      <c r="G299" s="1" t="s">
        <v>34</v>
      </c>
      <c r="H299" s="1" t="s">
        <v>28</v>
      </c>
      <c r="I299" s="1">
        <v>184.25</v>
      </c>
      <c r="J299" s="1">
        <v>4</v>
      </c>
      <c r="K299" s="1">
        <v>0</v>
      </c>
      <c r="L299" s="1" t="s">
        <v>29</v>
      </c>
      <c r="M299" s="1">
        <v>1</v>
      </c>
      <c r="N299" s="1">
        <v>5</v>
      </c>
      <c r="O299" s="1">
        <v>737</v>
      </c>
      <c r="P299" cm="1">
        <f t="array" ref="P299">_xlfn.IFS(O299&gt;=3000,20%,O299&gt;=1000,15%,O299&gt;=500,10%,O299&gt;=200,5%,O299&lt;200,0%)</f>
        <v>0.1</v>
      </c>
      <c r="Q299">
        <f t="shared" si="8"/>
        <v>73.7</v>
      </c>
      <c r="R299" t="str">
        <f t="shared" si="9"/>
        <v>High Risk</v>
      </c>
    </row>
    <row r="300" spans="1:18" x14ac:dyDescent="0.35">
      <c r="A300" s="1" t="s">
        <v>434</v>
      </c>
      <c r="B300" s="2">
        <v>45359</v>
      </c>
      <c r="C300" s="1" t="s">
        <v>289</v>
      </c>
      <c r="D300" s="1">
        <v>30</v>
      </c>
      <c r="E300" s="1" t="s">
        <v>32</v>
      </c>
      <c r="F300" s="1" t="s">
        <v>51</v>
      </c>
      <c r="G300" s="1" t="s">
        <v>41</v>
      </c>
      <c r="H300" s="1" t="s">
        <v>23</v>
      </c>
      <c r="I300" s="1">
        <v>543.97</v>
      </c>
      <c r="J300" s="1">
        <v>1</v>
      </c>
      <c r="K300" s="1">
        <v>0</v>
      </c>
      <c r="L300" s="1" t="s">
        <v>29</v>
      </c>
      <c r="M300" s="1">
        <v>4</v>
      </c>
      <c r="N300" s="1">
        <v>4</v>
      </c>
      <c r="O300" s="1">
        <v>543.97</v>
      </c>
      <c r="P300" cm="1">
        <f t="array" ref="P300">_xlfn.IFS(O300&gt;=3000,20%,O300&gt;=1000,15%,O300&gt;=500,10%,O300&gt;=200,5%,O300&lt;200,0%)</f>
        <v>0.1</v>
      </c>
      <c r="Q300">
        <f t="shared" si="8"/>
        <v>54.397000000000006</v>
      </c>
      <c r="R300" t="str">
        <f t="shared" si="9"/>
        <v>Low Risk</v>
      </c>
    </row>
    <row r="301" spans="1:18" x14ac:dyDescent="0.35">
      <c r="A301" s="1" t="s">
        <v>435</v>
      </c>
      <c r="B301" s="2">
        <v>45580</v>
      </c>
      <c r="C301" s="1" t="s">
        <v>436</v>
      </c>
      <c r="D301" s="1">
        <v>28</v>
      </c>
      <c r="E301" s="1" t="s">
        <v>20</v>
      </c>
      <c r="F301" s="1" t="s">
        <v>33</v>
      </c>
      <c r="G301" s="1" t="s">
        <v>47</v>
      </c>
      <c r="H301" s="1" t="s">
        <v>28</v>
      </c>
      <c r="I301" s="1">
        <v>758.96</v>
      </c>
      <c r="J301" s="1">
        <v>2</v>
      </c>
      <c r="K301" s="1">
        <v>15</v>
      </c>
      <c r="L301" s="1" t="s">
        <v>43</v>
      </c>
      <c r="N301" s="1">
        <v>4</v>
      </c>
      <c r="O301" s="1">
        <v>1290.232</v>
      </c>
      <c r="P301" cm="1">
        <f t="array" ref="P301">_xlfn.IFS(O301&gt;=3000,20%,O301&gt;=1000,15%,O301&gt;=500,10%,O301&gt;=200,5%,O301&lt;200,0%)</f>
        <v>0.15</v>
      </c>
      <c r="Q301">
        <f t="shared" si="8"/>
        <v>193.53479999999999</v>
      </c>
      <c r="R301" t="str">
        <f t="shared" si="9"/>
        <v>Missing Data</v>
      </c>
    </row>
    <row r="302" spans="1:18" x14ac:dyDescent="0.35">
      <c r="A302" s="1" t="s">
        <v>437</v>
      </c>
      <c r="B302" s="2">
        <v>45568</v>
      </c>
      <c r="C302" s="1" t="s">
        <v>63</v>
      </c>
      <c r="D302" s="1">
        <v>40</v>
      </c>
      <c r="E302" s="1" t="s">
        <v>32</v>
      </c>
      <c r="F302" s="1" t="s">
        <v>33</v>
      </c>
      <c r="G302" s="1" t="s">
        <v>38</v>
      </c>
      <c r="H302" s="1" t="s">
        <v>48</v>
      </c>
      <c r="I302" s="1">
        <v>596.9</v>
      </c>
      <c r="J302" s="1">
        <v>4</v>
      </c>
      <c r="K302" s="1">
        <v>15</v>
      </c>
      <c r="L302" s="1" t="s">
        <v>43</v>
      </c>
      <c r="M302" s="1">
        <v>5</v>
      </c>
      <c r="N302" s="1">
        <v>9</v>
      </c>
      <c r="O302" s="1">
        <v>2029.46</v>
      </c>
      <c r="P302" cm="1">
        <f t="array" ref="P302">_xlfn.IFS(O302&gt;=3000,20%,O302&gt;=1000,15%,O302&gt;=500,10%,O302&gt;=200,5%,O302&lt;200,0%)</f>
        <v>0.15</v>
      </c>
      <c r="Q302">
        <f t="shared" si="8"/>
        <v>304.41899999999998</v>
      </c>
      <c r="R302" t="str">
        <f t="shared" si="9"/>
        <v>Medium Risk</v>
      </c>
    </row>
    <row r="303" spans="1:18" x14ac:dyDescent="0.35">
      <c r="A303" s="1" t="s">
        <v>438</v>
      </c>
      <c r="B303" s="2">
        <v>45595</v>
      </c>
      <c r="C303" s="1" t="s">
        <v>278</v>
      </c>
      <c r="D303" s="1">
        <v>33</v>
      </c>
      <c r="E303" s="1" t="s">
        <v>20</v>
      </c>
      <c r="F303" s="1" t="s">
        <v>33</v>
      </c>
      <c r="G303" s="1" t="s">
        <v>41</v>
      </c>
      <c r="H303" s="1" t="s">
        <v>23</v>
      </c>
      <c r="I303" s="1">
        <v>494.1</v>
      </c>
      <c r="J303" s="1">
        <v>2</v>
      </c>
      <c r="K303" s="1">
        <v>0</v>
      </c>
      <c r="L303" s="1" t="s">
        <v>52</v>
      </c>
      <c r="M303" s="1">
        <v>2</v>
      </c>
      <c r="N303" s="1">
        <v>7</v>
      </c>
      <c r="O303" s="1">
        <v>988.2</v>
      </c>
      <c r="P303" cm="1">
        <f t="array" ref="P303">_xlfn.IFS(O303&gt;=3000,20%,O303&gt;=1000,15%,O303&gt;=500,10%,O303&gt;=200,5%,O303&lt;200,0%)</f>
        <v>0.1</v>
      </c>
      <c r="Q303">
        <f t="shared" si="8"/>
        <v>98.820000000000007</v>
      </c>
      <c r="R303" t="str">
        <f t="shared" si="9"/>
        <v>Medium Risk</v>
      </c>
    </row>
    <row r="304" spans="1:18" x14ac:dyDescent="0.35">
      <c r="A304" s="1" t="s">
        <v>439</v>
      </c>
      <c r="B304" s="2">
        <v>45426</v>
      </c>
      <c r="C304" s="1" t="s">
        <v>278</v>
      </c>
      <c r="D304" s="1">
        <v>48</v>
      </c>
      <c r="E304" s="1" t="s">
        <v>20</v>
      </c>
      <c r="F304" s="1" t="s">
        <v>27</v>
      </c>
      <c r="G304" s="1" t="s">
        <v>34</v>
      </c>
      <c r="H304" s="1" t="s">
        <v>48</v>
      </c>
      <c r="I304" s="1">
        <v>1192.74</v>
      </c>
      <c r="J304" s="1">
        <v>4</v>
      </c>
      <c r="K304" s="1">
        <v>20</v>
      </c>
      <c r="L304" s="1" t="s">
        <v>29</v>
      </c>
      <c r="M304" s="1">
        <v>2</v>
      </c>
      <c r="N304" s="1">
        <v>4</v>
      </c>
      <c r="O304" s="1">
        <v>3816.768</v>
      </c>
      <c r="P304" cm="1">
        <f t="array" ref="P304">_xlfn.IFS(O304&gt;=3000,20%,O304&gt;=1000,15%,O304&gt;=500,10%,O304&gt;=200,5%,O304&lt;200,0%)</f>
        <v>0.2</v>
      </c>
      <c r="Q304">
        <f t="shared" si="8"/>
        <v>763.35360000000003</v>
      </c>
      <c r="R304" t="str">
        <f t="shared" si="9"/>
        <v>Medium Risk</v>
      </c>
    </row>
    <row r="305" spans="1:18" x14ac:dyDescent="0.35">
      <c r="A305" s="1" t="s">
        <v>440</v>
      </c>
      <c r="B305" s="2">
        <v>45486</v>
      </c>
      <c r="C305" s="1" t="s">
        <v>50</v>
      </c>
      <c r="D305" s="1">
        <v>28</v>
      </c>
      <c r="E305" s="1" t="s">
        <v>32</v>
      </c>
      <c r="F305" s="1" t="s">
        <v>51</v>
      </c>
      <c r="G305" s="1" t="s">
        <v>47</v>
      </c>
      <c r="H305" s="1" t="s">
        <v>125</v>
      </c>
      <c r="I305" s="1">
        <v>1058.77</v>
      </c>
      <c r="J305" s="1">
        <v>4</v>
      </c>
      <c r="K305" s="1">
        <v>0</v>
      </c>
      <c r="L305" s="1" t="s">
        <v>29</v>
      </c>
      <c r="N305" s="1">
        <v>3</v>
      </c>
      <c r="O305" s="1">
        <v>4235.08</v>
      </c>
      <c r="P305" cm="1">
        <f t="array" ref="P305">_xlfn.IFS(O305&gt;=3000,20%,O305&gt;=1000,15%,O305&gt;=500,10%,O305&gt;=200,5%,O305&lt;200,0%)</f>
        <v>0.2</v>
      </c>
      <c r="Q305">
        <f t="shared" si="8"/>
        <v>847.01600000000008</v>
      </c>
      <c r="R305" t="str">
        <f t="shared" si="9"/>
        <v>Missing Data</v>
      </c>
    </row>
    <row r="306" spans="1:18" x14ac:dyDescent="0.35">
      <c r="A306" s="1" t="s">
        <v>441</v>
      </c>
      <c r="B306" s="2">
        <v>45419</v>
      </c>
      <c r="C306" s="1" t="s">
        <v>442</v>
      </c>
      <c r="D306" s="1">
        <v>33</v>
      </c>
      <c r="E306" s="1" t="s">
        <v>20</v>
      </c>
      <c r="F306" s="1" t="s">
        <v>51</v>
      </c>
      <c r="G306" s="1" t="s">
        <v>38</v>
      </c>
      <c r="H306" s="1" t="s">
        <v>55</v>
      </c>
      <c r="I306" s="1">
        <v>755.62</v>
      </c>
      <c r="J306" s="1">
        <v>3</v>
      </c>
      <c r="K306" s="1">
        <v>5</v>
      </c>
      <c r="L306" s="1" t="s">
        <v>24</v>
      </c>
      <c r="M306" s="1">
        <v>4</v>
      </c>
      <c r="N306" s="1">
        <v>6</v>
      </c>
      <c r="O306" s="1">
        <v>2153.5169999999998</v>
      </c>
      <c r="P306" cm="1">
        <f t="array" ref="P306">_xlfn.IFS(O306&gt;=3000,20%,O306&gt;=1000,15%,O306&gt;=500,10%,O306&gt;=200,5%,O306&lt;200,0%)</f>
        <v>0.15</v>
      </c>
      <c r="Q306">
        <f t="shared" si="8"/>
        <v>323.02754999999996</v>
      </c>
      <c r="R306" t="str">
        <f t="shared" si="9"/>
        <v>Low Risk</v>
      </c>
    </row>
    <row r="307" spans="1:18" x14ac:dyDescent="0.35">
      <c r="A307" s="1" t="s">
        <v>443</v>
      </c>
      <c r="B307" s="2">
        <v>45324</v>
      </c>
      <c r="C307" s="1" t="s">
        <v>152</v>
      </c>
      <c r="D307" s="1">
        <v>25</v>
      </c>
      <c r="E307" s="1" t="s">
        <v>20</v>
      </c>
      <c r="F307" s="1" t="s">
        <v>46</v>
      </c>
      <c r="G307" s="1" t="s">
        <v>41</v>
      </c>
      <c r="H307" s="1" t="s">
        <v>125</v>
      </c>
      <c r="I307" s="1">
        <v>691.87</v>
      </c>
      <c r="J307" s="1">
        <v>2</v>
      </c>
      <c r="K307" s="1">
        <v>10</v>
      </c>
      <c r="L307" s="1" t="s">
        <v>52</v>
      </c>
      <c r="N307" s="1">
        <v>3</v>
      </c>
      <c r="O307" s="1">
        <v>1245.366</v>
      </c>
      <c r="P307" cm="1">
        <f t="array" ref="P307">_xlfn.IFS(O307&gt;=3000,20%,O307&gt;=1000,15%,O307&gt;=500,10%,O307&gt;=200,5%,O307&lt;200,0%)</f>
        <v>0.15</v>
      </c>
      <c r="Q307">
        <f t="shared" si="8"/>
        <v>186.8049</v>
      </c>
      <c r="R307" t="str">
        <f t="shared" si="9"/>
        <v>Missing Data</v>
      </c>
    </row>
    <row r="308" spans="1:18" x14ac:dyDescent="0.35">
      <c r="A308" s="1" t="s">
        <v>444</v>
      </c>
      <c r="B308" s="2">
        <v>45467</v>
      </c>
      <c r="C308" s="1" t="s">
        <v>174</v>
      </c>
      <c r="D308" s="1">
        <v>21</v>
      </c>
      <c r="E308" s="1" t="s">
        <v>20</v>
      </c>
      <c r="F308" s="1" t="s">
        <v>46</v>
      </c>
      <c r="G308" s="1" t="s">
        <v>38</v>
      </c>
      <c r="H308" s="1" t="s">
        <v>64</v>
      </c>
      <c r="I308" s="1">
        <v>752.38</v>
      </c>
      <c r="J308" s="1">
        <v>1</v>
      </c>
      <c r="K308" s="1">
        <v>20</v>
      </c>
      <c r="L308" s="1" t="s">
        <v>24</v>
      </c>
      <c r="M308" s="1">
        <v>1</v>
      </c>
      <c r="N308" s="1">
        <v>6</v>
      </c>
      <c r="O308" s="1">
        <v>601.904</v>
      </c>
      <c r="P308" cm="1">
        <f t="array" ref="P308">_xlfn.IFS(O308&gt;=3000,20%,O308&gt;=1000,15%,O308&gt;=500,10%,O308&gt;=200,5%,O308&lt;200,0%)</f>
        <v>0.1</v>
      </c>
      <c r="Q308">
        <f t="shared" si="8"/>
        <v>60.190400000000004</v>
      </c>
      <c r="R308" t="str">
        <f t="shared" si="9"/>
        <v>High Risk</v>
      </c>
    </row>
    <row r="309" spans="1:18" x14ac:dyDescent="0.35">
      <c r="A309" s="1" t="s">
        <v>445</v>
      </c>
      <c r="B309" s="2">
        <v>45313</v>
      </c>
      <c r="C309" s="1" t="s">
        <v>403</v>
      </c>
      <c r="D309" s="1">
        <v>57</v>
      </c>
      <c r="E309" s="1" t="s">
        <v>20</v>
      </c>
      <c r="F309" s="1" t="s">
        <v>46</v>
      </c>
      <c r="G309" s="1" t="s">
        <v>34</v>
      </c>
      <c r="H309" s="1" t="s">
        <v>28</v>
      </c>
      <c r="I309" s="1">
        <v>257.55</v>
      </c>
      <c r="J309" s="1">
        <v>3</v>
      </c>
      <c r="K309" s="1">
        <v>5</v>
      </c>
      <c r="L309" s="1" t="s">
        <v>29</v>
      </c>
      <c r="M309" s="1">
        <v>5</v>
      </c>
      <c r="N309" s="1">
        <v>9</v>
      </c>
      <c r="O309" s="1">
        <v>734.01750000000004</v>
      </c>
      <c r="P309" cm="1">
        <f t="array" ref="P309">_xlfn.IFS(O309&gt;=3000,20%,O309&gt;=1000,15%,O309&gt;=500,10%,O309&gt;=200,5%,O309&lt;200,0%)</f>
        <v>0.1</v>
      </c>
      <c r="Q309">
        <f t="shared" si="8"/>
        <v>73.401750000000007</v>
      </c>
      <c r="R309" t="str">
        <f t="shared" si="9"/>
        <v>Low Risk</v>
      </c>
    </row>
    <row r="310" spans="1:18" x14ac:dyDescent="0.35">
      <c r="A310" s="1" t="s">
        <v>446</v>
      </c>
      <c r="B310" s="2">
        <v>45529</v>
      </c>
      <c r="C310" s="1" t="s">
        <v>447</v>
      </c>
      <c r="D310" s="1">
        <v>21</v>
      </c>
      <c r="E310" s="1" t="s">
        <v>20</v>
      </c>
      <c r="F310" s="1" t="s">
        <v>33</v>
      </c>
      <c r="G310" s="1" t="s">
        <v>38</v>
      </c>
      <c r="H310" s="1" t="s">
        <v>48</v>
      </c>
      <c r="I310" s="1">
        <v>486.26</v>
      </c>
      <c r="J310" s="1">
        <v>3</v>
      </c>
      <c r="K310" s="1">
        <v>20</v>
      </c>
      <c r="L310" s="1" t="s">
        <v>24</v>
      </c>
      <c r="M310" s="1">
        <v>1</v>
      </c>
      <c r="N310" s="1">
        <v>6</v>
      </c>
      <c r="O310" s="1">
        <v>1167.0239999999999</v>
      </c>
      <c r="P310" cm="1">
        <f t="array" ref="P310">_xlfn.IFS(O310&gt;=3000,20%,O310&gt;=1000,15%,O310&gt;=500,10%,O310&gt;=200,5%,O310&lt;200,0%)</f>
        <v>0.15</v>
      </c>
      <c r="Q310">
        <f t="shared" si="8"/>
        <v>175.05359999999999</v>
      </c>
      <c r="R310" t="str">
        <f t="shared" si="9"/>
        <v>High Risk</v>
      </c>
    </row>
    <row r="311" spans="1:18" x14ac:dyDescent="0.35">
      <c r="A311" s="1" t="s">
        <v>448</v>
      </c>
      <c r="B311" s="2">
        <v>45449</v>
      </c>
      <c r="C311" s="1" t="s">
        <v>19</v>
      </c>
      <c r="D311" s="1">
        <v>42</v>
      </c>
      <c r="E311" s="1" t="s">
        <v>20</v>
      </c>
      <c r="F311" s="1" t="s">
        <v>51</v>
      </c>
      <c r="G311" s="1" t="s">
        <v>22</v>
      </c>
      <c r="H311" s="1" t="s">
        <v>35</v>
      </c>
      <c r="I311" s="1">
        <v>66.56</v>
      </c>
      <c r="J311" s="1">
        <v>1</v>
      </c>
      <c r="K311" s="1">
        <v>5</v>
      </c>
      <c r="L311" s="1" t="s">
        <v>29</v>
      </c>
      <c r="M311" s="1">
        <v>2</v>
      </c>
      <c r="N311" s="1">
        <v>4</v>
      </c>
      <c r="O311" s="1">
        <v>63.231999999999999</v>
      </c>
      <c r="P311" cm="1">
        <f t="array" ref="P311">_xlfn.IFS(O311&gt;=3000,20%,O311&gt;=1000,15%,O311&gt;=500,10%,O311&gt;=200,5%,O311&lt;200,0%)</f>
        <v>0</v>
      </c>
      <c r="Q311">
        <f t="shared" si="8"/>
        <v>0</v>
      </c>
      <c r="R311" t="str">
        <f t="shared" si="9"/>
        <v>Medium Risk</v>
      </c>
    </row>
    <row r="312" spans="1:18" x14ac:dyDescent="0.35">
      <c r="A312" s="1" t="s">
        <v>449</v>
      </c>
      <c r="B312" s="2">
        <v>45329</v>
      </c>
      <c r="C312" s="1" t="s">
        <v>45</v>
      </c>
      <c r="D312" s="1">
        <v>20</v>
      </c>
      <c r="E312" s="1" t="s">
        <v>32</v>
      </c>
      <c r="F312" s="1" t="s">
        <v>33</v>
      </c>
      <c r="G312" s="1" t="s">
        <v>41</v>
      </c>
      <c r="H312" s="1" t="s">
        <v>125</v>
      </c>
      <c r="I312" s="1">
        <v>581.14</v>
      </c>
      <c r="J312" s="1">
        <v>3</v>
      </c>
      <c r="K312" s="1">
        <v>10</v>
      </c>
      <c r="L312" s="1" t="s">
        <v>29</v>
      </c>
      <c r="M312" s="1">
        <v>5</v>
      </c>
      <c r="N312" s="1">
        <v>5</v>
      </c>
      <c r="O312" s="1">
        <v>1569.078</v>
      </c>
      <c r="P312" cm="1">
        <f t="array" ref="P312">_xlfn.IFS(O312&gt;=3000,20%,O312&gt;=1000,15%,O312&gt;=500,10%,O312&gt;=200,5%,O312&lt;200,0%)</f>
        <v>0.15</v>
      </c>
      <c r="Q312">
        <f t="shared" si="8"/>
        <v>235.36169999999998</v>
      </c>
      <c r="R312" t="str">
        <f t="shared" si="9"/>
        <v>Low Risk</v>
      </c>
    </row>
    <row r="313" spans="1:18" x14ac:dyDescent="0.35">
      <c r="A313" s="1" t="s">
        <v>450</v>
      </c>
      <c r="B313" s="2">
        <v>45521</v>
      </c>
      <c r="C313" s="1" t="s">
        <v>128</v>
      </c>
      <c r="D313" s="1">
        <v>49</v>
      </c>
      <c r="E313" s="1" t="s">
        <v>20</v>
      </c>
      <c r="F313" s="1" t="s">
        <v>27</v>
      </c>
      <c r="G313" s="1" t="s">
        <v>38</v>
      </c>
      <c r="H313" s="1" t="s">
        <v>64</v>
      </c>
      <c r="I313" s="1">
        <v>660.77</v>
      </c>
      <c r="J313" s="1">
        <v>4</v>
      </c>
      <c r="K313" s="1">
        <v>10</v>
      </c>
      <c r="L313" s="1" t="s">
        <v>24</v>
      </c>
      <c r="N313" s="1">
        <v>6</v>
      </c>
      <c r="O313" s="1">
        <v>2378.7719999999999</v>
      </c>
      <c r="P313" cm="1">
        <f t="array" ref="P313">_xlfn.IFS(O313&gt;=3000,20%,O313&gt;=1000,15%,O313&gt;=500,10%,O313&gt;=200,5%,O313&lt;200,0%)</f>
        <v>0.15</v>
      </c>
      <c r="Q313">
        <f t="shared" si="8"/>
        <v>356.81579999999997</v>
      </c>
      <c r="R313" t="str">
        <f t="shared" si="9"/>
        <v>Missing Data</v>
      </c>
    </row>
    <row r="314" spans="1:18" x14ac:dyDescent="0.35">
      <c r="A314" s="1" t="s">
        <v>451</v>
      </c>
      <c r="B314" s="2">
        <v>45656</v>
      </c>
      <c r="C314" s="1" t="s">
        <v>59</v>
      </c>
      <c r="D314" s="1">
        <v>20</v>
      </c>
      <c r="E314" s="1" t="s">
        <v>20</v>
      </c>
      <c r="F314" s="1" t="s">
        <v>46</v>
      </c>
      <c r="G314" s="1" t="s">
        <v>34</v>
      </c>
      <c r="H314" s="1" t="s">
        <v>42</v>
      </c>
      <c r="I314" s="1">
        <v>288.74</v>
      </c>
      <c r="J314" s="1">
        <v>4</v>
      </c>
      <c r="K314" s="1">
        <v>15</v>
      </c>
      <c r="L314" s="1" t="s">
        <v>24</v>
      </c>
      <c r="M314" s="1">
        <v>1</v>
      </c>
      <c r="N314" s="1">
        <v>3</v>
      </c>
      <c r="O314" s="1">
        <v>981.71600000000001</v>
      </c>
      <c r="P314" cm="1">
        <f t="array" ref="P314">_xlfn.IFS(O314&gt;=3000,20%,O314&gt;=1000,15%,O314&gt;=500,10%,O314&gt;=200,5%,O314&lt;200,0%)</f>
        <v>0.1</v>
      </c>
      <c r="Q314">
        <f t="shared" si="8"/>
        <v>98.171600000000012</v>
      </c>
      <c r="R314" t="str">
        <f t="shared" si="9"/>
        <v>High Risk</v>
      </c>
    </row>
    <row r="315" spans="1:18" x14ac:dyDescent="0.35">
      <c r="A315" s="1" t="s">
        <v>452</v>
      </c>
      <c r="B315" s="2">
        <v>45342</v>
      </c>
      <c r="C315" s="1" t="s">
        <v>358</v>
      </c>
      <c r="D315" s="1">
        <v>44</v>
      </c>
      <c r="E315" s="1" t="s">
        <v>20</v>
      </c>
      <c r="F315" s="1" t="s">
        <v>33</v>
      </c>
      <c r="G315" s="1" t="s">
        <v>34</v>
      </c>
      <c r="H315" s="1" t="s">
        <v>79</v>
      </c>
      <c r="I315" s="1">
        <v>1157.55</v>
      </c>
      <c r="J315" s="1">
        <v>2</v>
      </c>
      <c r="K315" s="1">
        <v>5</v>
      </c>
      <c r="L315" s="1" t="s">
        <v>43</v>
      </c>
      <c r="M315" s="1">
        <v>3</v>
      </c>
      <c r="N315" s="1">
        <v>8</v>
      </c>
      <c r="O315" s="1">
        <v>2199.3449999999998</v>
      </c>
      <c r="P315" cm="1">
        <f t="array" ref="P315">_xlfn.IFS(O315&gt;=3000,20%,O315&gt;=1000,15%,O315&gt;=500,10%,O315&gt;=200,5%,O315&lt;200,0%)</f>
        <v>0.15</v>
      </c>
      <c r="Q315">
        <f t="shared" si="8"/>
        <v>329.90174999999994</v>
      </c>
      <c r="R315" t="str">
        <f t="shared" si="9"/>
        <v>Medium Risk</v>
      </c>
    </row>
    <row r="316" spans="1:18" x14ac:dyDescent="0.35">
      <c r="A316" s="1" t="s">
        <v>453</v>
      </c>
      <c r="B316" s="2">
        <v>45555</v>
      </c>
      <c r="C316" s="1" t="s">
        <v>241</v>
      </c>
      <c r="D316" s="1">
        <v>46</v>
      </c>
      <c r="E316" s="1" t="s">
        <v>32</v>
      </c>
      <c r="F316" s="1" t="s">
        <v>33</v>
      </c>
      <c r="G316" s="1" t="s">
        <v>38</v>
      </c>
      <c r="H316" s="1" t="s">
        <v>23</v>
      </c>
      <c r="I316" s="1">
        <v>1093.1600000000001</v>
      </c>
      <c r="J316" s="1">
        <v>2</v>
      </c>
      <c r="K316" s="1">
        <v>15</v>
      </c>
      <c r="L316" s="1" t="s">
        <v>43</v>
      </c>
      <c r="M316" s="1">
        <v>4</v>
      </c>
      <c r="N316" s="1">
        <v>4</v>
      </c>
      <c r="O316" s="1">
        <v>1858.3720000000001</v>
      </c>
      <c r="P316" cm="1">
        <f t="array" ref="P316">_xlfn.IFS(O316&gt;=3000,20%,O316&gt;=1000,15%,O316&gt;=500,10%,O316&gt;=200,5%,O316&lt;200,0%)</f>
        <v>0.15</v>
      </c>
      <c r="Q316">
        <f t="shared" si="8"/>
        <v>278.75580000000002</v>
      </c>
      <c r="R316" t="str">
        <f t="shared" si="9"/>
        <v>Medium Risk</v>
      </c>
    </row>
    <row r="317" spans="1:18" x14ac:dyDescent="0.35">
      <c r="A317" s="1" t="s">
        <v>454</v>
      </c>
      <c r="B317" s="2">
        <v>45574</v>
      </c>
      <c r="C317" s="1" t="s">
        <v>37</v>
      </c>
      <c r="D317" s="1">
        <v>49</v>
      </c>
      <c r="E317" s="1" t="s">
        <v>20</v>
      </c>
      <c r="F317" s="1" t="s">
        <v>27</v>
      </c>
      <c r="G317" s="1" t="s">
        <v>34</v>
      </c>
      <c r="H317" s="1" t="s">
        <v>64</v>
      </c>
      <c r="I317" s="1">
        <v>872.13</v>
      </c>
      <c r="J317" s="1">
        <v>1</v>
      </c>
      <c r="K317" s="1">
        <v>5</v>
      </c>
      <c r="L317" s="1" t="s">
        <v>43</v>
      </c>
      <c r="M317" s="1">
        <v>4</v>
      </c>
      <c r="N317" s="1">
        <v>8</v>
      </c>
      <c r="O317" s="1">
        <v>828.52350000000001</v>
      </c>
      <c r="P317" cm="1">
        <f t="array" ref="P317">_xlfn.IFS(O317&gt;=3000,20%,O317&gt;=1000,15%,O317&gt;=500,10%,O317&gt;=200,5%,O317&lt;200,0%)</f>
        <v>0.1</v>
      </c>
      <c r="Q317">
        <f t="shared" si="8"/>
        <v>82.852350000000001</v>
      </c>
      <c r="R317" t="str">
        <f t="shared" si="9"/>
        <v>Low Risk</v>
      </c>
    </row>
    <row r="318" spans="1:18" x14ac:dyDescent="0.35">
      <c r="A318" s="1" t="s">
        <v>455</v>
      </c>
      <c r="B318" s="2">
        <v>45318</v>
      </c>
      <c r="C318" s="1" t="s">
        <v>456</v>
      </c>
      <c r="E318" s="1" t="s">
        <v>32</v>
      </c>
      <c r="G318" s="1" t="s">
        <v>47</v>
      </c>
      <c r="H318" s="1" t="s">
        <v>55</v>
      </c>
      <c r="I318" s="1">
        <v>649.4</v>
      </c>
      <c r="J318" s="1">
        <v>2</v>
      </c>
      <c r="K318" s="1">
        <v>15</v>
      </c>
      <c r="L318" s="1" t="s">
        <v>29</v>
      </c>
      <c r="N318" s="1">
        <v>3</v>
      </c>
      <c r="O318" s="1">
        <v>1103.98</v>
      </c>
      <c r="P318" cm="1">
        <f t="array" ref="P318">_xlfn.IFS(O318&gt;=3000,20%,O318&gt;=1000,15%,O318&gt;=500,10%,O318&gt;=200,5%,O318&lt;200,0%)</f>
        <v>0.15</v>
      </c>
      <c r="Q318">
        <f t="shared" si="8"/>
        <v>165.59700000000001</v>
      </c>
      <c r="R318" t="str">
        <f t="shared" si="9"/>
        <v>Missing Data</v>
      </c>
    </row>
    <row r="319" spans="1:18" x14ac:dyDescent="0.35">
      <c r="A319" s="1" t="s">
        <v>457</v>
      </c>
      <c r="B319" s="2">
        <v>45517</v>
      </c>
      <c r="C319" s="1" t="s">
        <v>225</v>
      </c>
      <c r="D319" s="1">
        <v>38</v>
      </c>
      <c r="E319" s="1" t="s">
        <v>20</v>
      </c>
      <c r="F319" s="1" t="s">
        <v>51</v>
      </c>
      <c r="G319" s="1" t="s">
        <v>47</v>
      </c>
      <c r="H319" s="1" t="s">
        <v>125</v>
      </c>
      <c r="I319" s="1">
        <v>1046.56</v>
      </c>
      <c r="J319" s="1">
        <v>4</v>
      </c>
      <c r="K319" s="1">
        <v>10</v>
      </c>
      <c r="L319" s="1" t="s">
        <v>24</v>
      </c>
      <c r="M319" s="1">
        <v>2</v>
      </c>
      <c r="N319" s="1">
        <v>7</v>
      </c>
      <c r="O319" s="1">
        <v>3767.616</v>
      </c>
      <c r="P319" cm="1">
        <f t="array" ref="P319">_xlfn.IFS(O319&gt;=3000,20%,O319&gt;=1000,15%,O319&gt;=500,10%,O319&gt;=200,5%,O319&lt;200,0%)</f>
        <v>0.2</v>
      </c>
      <c r="Q319">
        <f t="shared" si="8"/>
        <v>753.52320000000009</v>
      </c>
      <c r="R319" t="str">
        <f t="shared" si="9"/>
        <v>Medium Risk</v>
      </c>
    </row>
    <row r="320" spans="1:18" x14ac:dyDescent="0.35">
      <c r="A320" s="1" t="s">
        <v>458</v>
      </c>
      <c r="B320" s="2">
        <v>45568</v>
      </c>
      <c r="C320" s="1" t="s">
        <v>262</v>
      </c>
      <c r="D320" s="1">
        <v>22</v>
      </c>
      <c r="E320" s="1" t="s">
        <v>32</v>
      </c>
      <c r="F320" s="1" t="s">
        <v>21</v>
      </c>
      <c r="G320" s="1" t="s">
        <v>47</v>
      </c>
      <c r="H320" s="1" t="s">
        <v>55</v>
      </c>
      <c r="I320" s="1">
        <v>174.17</v>
      </c>
      <c r="J320" s="1">
        <v>1</v>
      </c>
      <c r="K320" s="1">
        <v>20</v>
      </c>
      <c r="L320" s="1" t="s">
        <v>52</v>
      </c>
      <c r="M320" s="1">
        <v>5</v>
      </c>
      <c r="N320" s="1">
        <v>9</v>
      </c>
      <c r="O320" s="1">
        <v>139.33600000000001</v>
      </c>
      <c r="P320" cm="1">
        <f t="array" ref="P320">_xlfn.IFS(O320&gt;=3000,20%,O320&gt;=1000,15%,O320&gt;=500,10%,O320&gt;=200,5%,O320&lt;200,0%)</f>
        <v>0</v>
      </c>
      <c r="Q320">
        <f t="shared" si="8"/>
        <v>0</v>
      </c>
      <c r="R320" t="str">
        <f t="shared" si="9"/>
        <v>Medium Risk</v>
      </c>
    </row>
    <row r="321" spans="1:18" x14ac:dyDescent="0.35">
      <c r="A321" s="1" t="s">
        <v>459</v>
      </c>
      <c r="B321" s="2">
        <v>45577</v>
      </c>
      <c r="C321" s="1" t="s">
        <v>152</v>
      </c>
      <c r="D321" s="1">
        <v>35</v>
      </c>
      <c r="E321" s="1" t="s">
        <v>32</v>
      </c>
      <c r="F321" s="1" t="s">
        <v>46</v>
      </c>
      <c r="G321" s="1" t="s">
        <v>22</v>
      </c>
      <c r="H321" s="1" t="s">
        <v>79</v>
      </c>
      <c r="I321" s="1">
        <v>952.8</v>
      </c>
      <c r="J321" s="1">
        <v>1</v>
      </c>
      <c r="K321" s="1">
        <v>15</v>
      </c>
      <c r="L321" s="1" t="s">
        <v>29</v>
      </c>
      <c r="M321" s="1">
        <v>4</v>
      </c>
      <c r="N321" s="1">
        <v>4</v>
      </c>
      <c r="O321" s="1">
        <v>809.88</v>
      </c>
      <c r="P321" cm="1">
        <f t="array" ref="P321">_xlfn.IFS(O321&gt;=3000,20%,O321&gt;=1000,15%,O321&gt;=500,10%,O321&gt;=200,5%,O321&lt;200,0%)</f>
        <v>0.1</v>
      </c>
      <c r="Q321">
        <f t="shared" si="8"/>
        <v>80.988</v>
      </c>
      <c r="R321" t="str">
        <f t="shared" si="9"/>
        <v>Medium Risk</v>
      </c>
    </row>
    <row r="322" spans="1:18" x14ac:dyDescent="0.35">
      <c r="A322" s="1" t="s">
        <v>460</v>
      </c>
      <c r="B322" s="2">
        <v>45388</v>
      </c>
      <c r="C322" s="1" t="s">
        <v>59</v>
      </c>
      <c r="D322" s="1">
        <v>45</v>
      </c>
      <c r="E322" s="1" t="s">
        <v>20</v>
      </c>
      <c r="F322" s="1" t="s">
        <v>33</v>
      </c>
      <c r="G322" s="1" t="s">
        <v>38</v>
      </c>
      <c r="H322" s="1" t="s">
        <v>35</v>
      </c>
      <c r="I322" s="1">
        <v>167.29</v>
      </c>
      <c r="J322" s="1">
        <v>2</v>
      </c>
      <c r="K322" s="1">
        <v>5</v>
      </c>
      <c r="L322" s="1" t="s">
        <v>52</v>
      </c>
      <c r="M322" s="1">
        <v>3</v>
      </c>
      <c r="N322" s="1">
        <v>8</v>
      </c>
      <c r="O322" s="1">
        <v>317.851</v>
      </c>
      <c r="P322" cm="1">
        <f t="array" ref="P322">_xlfn.IFS(O322&gt;=3000,20%,O322&gt;=1000,15%,O322&gt;=500,10%,O322&gt;=200,5%,O322&lt;200,0%)</f>
        <v>0.05</v>
      </c>
      <c r="Q322">
        <f t="shared" si="8"/>
        <v>15.89255</v>
      </c>
      <c r="R322" t="str">
        <f t="shared" si="9"/>
        <v>Medium Risk</v>
      </c>
    </row>
    <row r="323" spans="1:18" x14ac:dyDescent="0.35">
      <c r="A323" s="1" t="s">
        <v>461</v>
      </c>
      <c r="B323" s="2">
        <v>45575</v>
      </c>
      <c r="C323" s="1" t="s">
        <v>324</v>
      </c>
      <c r="D323" s="1">
        <v>59</v>
      </c>
      <c r="E323" s="1" t="s">
        <v>20</v>
      </c>
      <c r="F323" s="1" t="s">
        <v>27</v>
      </c>
      <c r="G323" s="1" t="s">
        <v>22</v>
      </c>
      <c r="H323" s="1" t="s">
        <v>28</v>
      </c>
      <c r="I323" s="1">
        <v>957.17</v>
      </c>
      <c r="J323" s="1">
        <v>4</v>
      </c>
      <c r="K323" s="1">
        <v>5</v>
      </c>
      <c r="L323" s="1" t="s">
        <v>24</v>
      </c>
      <c r="N323" s="1">
        <v>3</v>
      </c>
      <c r="O323" s="1">
        <v>3637.2460000000001</v>
      </c>
      <c r="P323" cm="1">
        <f t="array" ref="P323">_xlfn.IFS(O323&gt;=3000,20%,O323&gt;=1000,15%,O323&gt;=500,10%,O323&gt;=200,5%,O323&lt;200,0%)</f>
        <v>0.2</v>
      </c>
      <c r="Q323">
        <f t="shared" ref="Q323:Q386" si="10">(P323*O323)</f>
        <v>727.44920000000002</v>
      </c>
      <c r="R323" t="str">
        <f t="shared" ref="R323:R386" si="11">IF(ISBLANK(K323),"Missing Data",IF(ISBLANK(M323),"Missing Data",IF(AND(K323&lt;=10,M323&gt;=4),"Low Risk",IF(OR(K323&gt;20,M323&lt;2),"High Risk","Medium Risk"))))</f>
        <v>Missing Data</v>
      </c>
    </row>
    <row r="324" spans="1:18" x14ac:dyDescent="0.35">
      <c r="A324" s="1" t="s">
        <v>462</v>
      </c>
      <c r="B324" s="2">
        <v>45608</v>
      </c>
      <c r="C324" s="1" t="s">
        <v>87</v>
      </c>
      <c r="D324" s="1">
        <v>39</v>
      </c>
      <c r="E324" s="1" t="s">
        <v>32</v>
      </c>
      <c r="F324" s="1" t="s">
        <v>27</v>
      </c>
      <c r="G324" s="1" t="s">
        <v>34</v>
      </c>
      <c r="H324" s="1" t="s">
        <v>28</v>
      </c>
      <c r="I324" s="1">
        <v>345.41</v>
      </c>
      <c r="J324" s="1">
        <v>1</v>
      </c>
      <c r="K324" s="1">
        <v>10</v>
      </c>
      <c r="L324" s="1" t="s">
        <v>29</v>
      </c>
      <c r="M324" s="1">
        <v>3</v>
      </c>
      <c r="N324" s="1">
        <v>7</v>
      </c>
      <c r="O324" s="1">
        <v>310.86900000000003</v>
      </c>
      <c r="P324" cm="1">
        <f t="array" ref="P324">_xlfn.IFS(O324&gt;=3000,20%,O324&gt;=1000,15%,O324&gt;=500,10%,O324&gt;=200,5%,O324&lt;200,0%)</f>
        <v>0.05</v>
      </c>
      <c r="Q324">
        <f t="shared" si="10"/>
        <v>15.543450000000002</v>
      </c>
      <c r="R324" t="str">
        <f t="shared" si="11"/>
        <v>Medium Risk</v>
      </c>
    </row>
    <row r="325" spans="1:18" x14ac:dyDescent="0.35">
      <c r="A325" s="1" t="s">
        <v>463</v>
      </c>
      <c r="B325" s="2">
        <v>45595</v>
      </c>
      <c r="C325" s="1" t="s">
        <v>354</v>
      </c>
      <c r="D325" s="1">
        <v>38</v>
      </c>
      <c r="E325" s="1" t="s">
        <v>20</v>
      </c>
      <c r="F325" s="1" t="s">
        <v>51</v>
      </c>
      <c r="G325" s="1" t="s">
        <v>22</v>
      </c>
      <c r="H325" s="1" t="s">
        <v>55</v>
      </c>
      <c r="I325" s="1">
        <v>1054.97</v>
      </c>
      <c r="J325" s="1">
        <v>4</v>
      </c>
      <c r="K325" s="1">
        <v>5</v>
      </c>
      <c r="L325" s="1" t="s">
        <v>52</v>
      </c>
      <c r="M325" s="1">
        <v>2</v>
      </c>
      <c r="N325" s="1">
        <v>3</v>
      </c>
      <c r="O325" s="1">
        <v>4008.886</v>
      </c>
      <c r="P325" cm="1">
        <f t="array" ref="P325">_xlfn.IFS(O325&gt;=3000,20%,O325&gt;=1000,15%,O325&gt;=500,10%,O325&gt;=200,5%,O325&lt;200,0%)</f>
        <v>0.2</v>
      </c>
      <c r="Q325">
        <f t="shared" si="10"/>
        <v>801.77719999999999</v>
      </c>
      <c r="R325" t="str">
        <f t="shared" si="11"/>
        <v>Medium Risk</v>
      </c>
    </row>
    <row r="326" spans="1:18" x14ac:dyDescent="0.35">
      <c r="A326" s="1" t="s">
        <v>464</v>
      </c>
      <c r="B326" s="2">
        <v>45438</v>
      </c>
      <c r="C326" s="1" t="s">
        <v>354</v>
      </c>
      <c r="D326" s="1">
        <v>23</v>
      </c>
      <c r="E326" s="1" t="s">
        <v>32</v>
      </c>
      <c r="F326" s="1" t="s">
        <v>21</v>
      </c>
      <c r="G326" s="1" t="s">
        <v>34</v>
      </c>
      <c r="H326" s="1" t="s">
        <v>48</v>
      </c>
      <c r="I326" s="1">
        <v>1133.97</v>
      </c>
      <c r="J326" s="1">
        <v>4</v>
      </c>
      <c r="K326" s="1">
        <v>0</v>
      </c>
      <c r="L326" s="1" t="s">
        <v>52</v>
      </c>
      <c r="M326" s="1">
        <v>2</v>
      </c>
      <c r="N326" s="1">
        <v>7</v>
      </c>
      <c r="O326" s="1">
        <v>4535.88</v>
      </c>
      <c r="P326" cm="1">
        <f t="array" ref="P326">_xlfn.IFS(O326&gt;=3000,20%,O326&gt;=1000,15%,O326&gt;=500,10%,O326&gt;=200,5%,O326&lt;200,0%)</f>
        <v>0.2</v>
      </c>
      <c r="Q326">
        <f t="shared" si="10"/>
        <v>907.17600000000004</v>
      </c>
      <c r="R326" t="str">
        <f t="shared" si="11"/>
        <v>Medium Risk</v>
      </c>
    </row>
    <row r="327" spans="1:18" x14ac:dyDescent="0.35">
      <c r="A327" s="1" t="s">
        <v>465</v>
      </c>
      <c r="B327" s="2">
        <v>45295</v>
      </c>
      <c r="C327" s="1" t="s">
        <v>201</v>
      </c>
      <c r="D327" s="1">
        <v>18</v>
      </c>
      <c r="E327" s="1" t="s">
        <v>32</v>
      </c>
      <c r="F327" s="1" t="s">
        <v>51</v>
      </c>
      <c r="G327" s="1" t="s">
        <v>34</v>
      </c>
      <c r="H327" s="1" t="s">
        <v>35</v>
      </c>
      <c r="I327" s="1">
        <v>195.58</v>
      </c>
      <c r="J327" s="1">
        <v>4</v>
      </c>
      <c r="K327" s="1">
        <v>20</v>
      </c>
      <c r="L327" s="1" t="s">
        <v>43</v>
      </c>
      <c r="M327" s="1">
        <v>1</v>
      </c>
      <c r="N327" s="1">
        <v>6</v>
      </c>
      <c r="O327" s="1">
        <v>625.85599999999999</v>
      </c>
      <c r="P327" cm="1">
        <f t="array" ref="P327">_xlfn.IFS(O327&gt;=3000,20%,O327&gt;=1000,15%,O327&gt;=500,10%,O327&gt;=200,5%,O327&lt;200,0%)</f>
        <v>0.1</v>
      </c>
      <c r="Q327">
        <f t="shared" si="10"/>
        <v>62.585599999999999</v>
      </c>
      <c r="R327" t="str">
        <f t="shared" si="11"/>
        <v>High Risk</v>
      </c>
    </row>
    <row r="328" spans="1:18" x14ac:dyDescent="0.35">
      <c r="A328" s="1" t="s">
        <v>466</v>
      </c>
      <c r="B328" s="2">
        <v>45326</v>
      </c>
      <c r="C328" s="1" t="s">
        <v>285</v>
      </c>
      <c r="D328" s="1">
        <v>22</v>
      </c>
      <c r="E328" s="1" t="s">
        <v>32</v>
      </c>
      <c r="F328" s="1" t="s">
        <v>33</v>
      </c>
      <c r="G328" s="1" t="s">
        <v>41</v>
      </c>
      <c r="H328" s="1" t="s">
        <v>28</v>
      </c>
      <c r="I328" s="1">
        <v>565.96</v>
      </c>
      <c r="J328" s="1">
        <v>2</v>
      </c>
      <c r="K328" s="1">
        <v>15</v>
      </c>
      <c r="L328" s="1" t="s">
        <v>43</v>
      </c>
      <c r="M328" s="1">
        <v>4</v>
      </c>
      <c r="N328" s="1">
        <v>2</v>
      </c>
      <c r="O328" s="1">
        <v>962.13199999999995</v>
      </c>
      <c r="P328" cm="1">
        <f t="array" ref="P328">_xlfn.IFS(O328&gt;=3000,20%,O328&gt;=1000,15%,O328&gt;=500,10%,O328&gt;=200,5%,O328&lt;200,0%)</f>
        <v>0.1</v>
      </c>
      <c r="Q328">
        <f t="shared" si="10"/>
        <v>96.213200000000001</v>
      </c>
      <c r="R328" t="str">
        <f t="shared" si="11"/>
        <v>Medium Risk</v>
      </c>
    </row>
    <row r="329" spans="1:18" x14ac:dyDescent="0.35">
      <c r="A329" s="1" t="s">
        <v>467</v>
      </c>
      <c r="B329" s="2">
        <v>45483</v>
      </c>
      <c r="C329" s="1" t="s">
        <v>113</v>
      </c>
      <c r="D329" s="1">
        <v>58</v>
      </c>
      <c r="E329" s="1" t="s">
        <v>32</v>
      </c>
      <c r="F329" s="1" t="s">
        <v>51</v>
      </c>
      <c r="G329" s="1" t="s">
        <v>47</v>
      </c>
      <c r="H329" s="1" t="s">
        <v>35</v>
      </c>
      <c r="I329" s="1">
        <v>1177.57</v>
      </c>
      <c r="J329" s="1">
        <v>3</v>
      </c>
      <c r="K329" s="1">
        <v>20</v>
      </c>
      <c r="L329" s="1" t="s">
        <v>43</v>
      </c>
      <c r="M329" s="1">
        <v>1</v>
      </c>
      <c r="N329" s="1">
        <v>3</v>
      </c>
      <c r="O329" s="1">
        <v>2826.1680000000001</v>
      </c>
      <c r="P329" cm="1">
        <f t="array" ref="P329">_xlfn.IFS(O329&gt;=3000,20%,O329&gt;=1000,15%,O329&gt;=500,10%,O329&gt;=200,5%,O329&lt;200,0%)</f>
        <v>0.15</v>
      </c>
      <c r="Q329">
        <f t="shared" si="10"/>
        <v>423.92520000000002</v>
      </c>
      <c r="R329" t="str">
        <f t="shared" si="11"/>
        <v>High Risk</v>
      </c>
    </row>
    <row r="330" spans="1:18" x14ac:dyDescent="0.35">
      <c r="A330" s="1" t="s">
        <v>468</v>
      </c>
      <c r="B330" s="2">
        <v>45340</v>
      </c>
      <c r="C330" s="1" t="s">
        <v>315</v>
      </c>
      <c r="D330" s="1">
        <v>29</v>
      </c>
      <c r="E330" s="1" t="s">
        <v>32</v>
      </c>
      <c r="F330" s="1" t="s">
        <v>27</v>
      </c>
      <c r="G330" s="1" t="s">
        <v>34</v>
      </c>
      <c r="H330" s="1" t="s">
        <v>64</v>
      </c>
      <c r="I330" s="1">
        <v>590.41999999999996</v>
      </c>
      <c r="J330" s="1">
        <v>3</v>
      </c>
      <c r="K330" s="1">
        <v>10</v>
      </c>
      <c r="L330" s="1" t="s">
        <v>29</v>
      </c>
      <c r="M330" s="1">
        <v>3</v>
      </c>
      <c r="N330" s="1">
        <v>6</v>
      </c>
      <c r="O330" s="1">
        <v>1594.134</v>
      </c>
      <c r="P330" cm="1">
        <f t="array" ref="P330">_xlfn.IFS(O330&gt;=3000,20%,O330&gt;=1000,15%,O330&gt;=500,10%,O330&gt;=200,5%,O330&lt;200,0%)</f>
        <v>0.15</v>
      </c>
      <c r="Q330">
        <f t="shared" si="10"/>
        <v>239.12009999999998</v>
      </c>
      <c r="R330" t="str">
        <f t="shared" si="11"/>
        <v>Medium Risk</v>
      </c>
    </row>
    <row r="331" spans="1:18" x14ac:dyDescent="0.35">
      <c r="A331" s="1" t="s">
        <v>469</v>
      </c>
      <c r="B331" s="2">
        <v>45308</v>
      </c>
      <c r="C331" s="1" t="s">
        <v>72</v>
      </c>
      <c r="D331" s="1">
        <v>43</v>
      </c>
      <c r="E331" s="1" t="s">
        <v>20</v>
      </c>
      <c r="F331" s="1" t="s">
        <v>27</v>
      </c>
      <c r="G331" s="1" t="s">
        <v>41</v>
      </c>
      <c r="H331" s="1" t="s">
        <v>35</v>
      </c>
      <c r="I331" s="1">
        <v>1038.99</v>
      </c>
      <c r="J331" s="1">
        <v>1</v>
      </c>
      <c r="K331" s="1">
        <v>15</v>
      </c>
      <c r="L331" s="1" t="s">
        <v>24</v>
      </c>
      <c r="M331" s="1">
        <v>5</v>
      </c>
      <c r="N331" s="1">
        <v>4</v>
      </c>
      <c r="O331" s="1">
        <v>883.14149999999995</v>
      </c>
      <c r="P331" cm="1">
        <f t="array" ref="P331">_xlfn.IFS(O331&gt;=3000,20%,O331&gt;=1000,15%,O331&gt;=500,10%,O331&gt;=200,5%,O331&lt;200,0%)</f>
        <v>0.1</v>
      </c>
      <c r="Q331">
        <f t="shared" si="10"/>
        <v>88.314149999999998</v>
      </c>
      <c r="R331" t="str">
        <f t="shared" si="11"/>
        <v>Medium Risk</v>
      </c>
    </row>
    <row r="332" spans="1:18" x14ac:dyDescent="0.35">
      <c r="A332" s="1" t="s">
        <v>470</v>
      </c>
      <c r="B332" s="2">
        <v>45463</v>
      </c>
      <c r="C332" s="1" t="s">
        <v>81</v>
      </c>
      <c r="D332" s="1">
        <v>51</v>
      </c>
      <c r="E332" s="1" t="s">
        <v>32</v>
      </c>
      <c r="F332" s="1" t="s">
        <v>46</v>
      </c>
      <c r="G332" s="1" t="s">
        <v>47</v>
      </c>
      <c r="H332" s="1" t="s">
        <v>96</v>
      </c>
      <c r="I332" s="1">
        <v>714.7</v>
      </c>
      <c r="J332" s="1">
        <v>4</v>
      </c>
      <c r="K332" s="1">
        <v>15</v>
      </c>
      <c r="L332" s="1" t="s">
        <v>24</v>
      </c>
      <c r="M332" s="1">
        <v>5</v>
      </c>
      <c r="N332" s="1">
        <v>6</v>
      </c>
      <c r="O332" s="1">
        <v>2429.98</v>
      </c>
      <c r="P332" cm="1">
        <f t="array" ref="P332">_xlfn.IFS(O332&gt;=3000,20%,O332&gt;=1000,15%,O332&gt;=500,10%,O332&gt;=200,5%,O332&lt;200,0%)</f>
        <v>0.15</v>
      </c>
      <c r="Q332">
        <f t="shared" si="10"/>
        <v>364.49700000000001</v>
      </c>
      <c r="R332" t="str">
        <f t="shared" si="11"/>
        <v>Medium Risk</v>
      </c>
    </row>
    <row r="333" spans="1:18" x14ac:dyDescent="0.35">
      <c r="A333" s="1" t="s">
        <v>471</v>
      </c>
      <c r="B333" s="2">
        <v>45511</v>
      </c>
      <c r="C333" s="1" t="s">
        <v>266</v>
      </c>
      <c r="D333" s="1">
        <v>31</v>
      </c>
      <c r="E333" s="1" t="s">
        <v>32</v>
      </c>
      <c r="F333" s="1" t="s">
        <v>46</v>
      </c>
      <c r="G333" s="1" t="s">
        <v>34</v>
      </c>
      <c r="H333" s="1" t="s">
        <v>79</v>
      </c>
      <c r="I333" s="1">
        <v>462.89</v>
      </c>
      <c r="J333" s="1">
        <v>2</v>
      </c>
      <c r="K333" s="1">
        <v>0</v>
      </c>
      <c r="L333" s="1" t="s">
        <v>43</v>
      </c>
      <c r="M333" s="1">
        <v>2</v>
      </c>
      <c r="N333" s="1">
        <v>1</v>
      </c>
      <c r="O333" s="1">
        <v>925.78</v>
      </c>
      <c r="P333" cm="1">
        <f t="array" ref="P333">_xlfn.IFS(O333&gt;=3000,20%,O333&gt;=1000,15%,O333&gt;=500,10%,O333&gt;=200,5%,O333&lt;200,0%)</f>
        <v>0.1</v>
      </c>
      <c r="Q333">
        <f t="shared" si="10"/>
        <v>92.578000000000003</v>
      </c>
      <c r="R333" t="str">
        <f t="shared" si="11"/>
        <v>Medium Risk</v>
      </c>
    </row>
    <row r="334" spans="1:18" x14ac:dyDescent="0.35">
      <c r="A334" s="1" t="s">
        <v>472</v>
      </c>
      <c r="B334" s="2">
        <v>45449</v>
      </c>
      <c r="C334" s="1" t="s">
        <v>174</v>
      </c>
      <c r="D334" s="1">
        <v>43</v>
      </c>
      <c r="E334" s="1" t="s">
        <v>20</v>
      </c>
      <c r="F334" s="1" t="s">
        <v>33</v>
      </c>
      <c r="G334" s="1" t="s">
        <v>34</v>
      </c>
      <c r="H334" s="1" t="s">
        <v>28</v>
      </c>
      <c r="I334" s="1">
        <v>357.22</v>
      </c>
      <c r="J334" s="1">
        <v>4</v>
      </c>
      <c r="K334" s="1">
        <v>10</v>
      </c>
      <c r="L334" s="1" t="s">
        <v>43</v>
      </c>
      <c r="M334" s="1">
        <v>5</v>
      </c>
      <c r="N334" s="1">
        <v>1</v>
      </c>
      <c r="O334" s="1">
        <v>1285.992</v>
      </c>
      <c r="P334" cm="1">
        <f t="array" ref="P334">_xlfn.IFS(O334&gt;=3000,20%,O334&gt;=1000,15%,O334&gt;=500,10%,O334&gt;=200,5%,O334&lt;200,0%)</f>
        <v>0.15</v>
      </c>
      <c r="Q334">
        <f t="shared" si="10"/>
        <v>192.89879999999999</v>
      </c>
      <c r="R334" t="str">
        <f t="shared" si="11"/>
        <v>Low Risk</v>
      </c>
    </row>
    <row r="335" spans="1:18" x14ac:dyDescent="0.35">
      <c r="A335" s="1" t="s">
        <v>473</v>
      </c>
      <c r="B335" s="2">
        <v>45337</v>
      </c>
      <c r="C335" s="1" t="s">
        <v>172</v>
      </c>
      <c r="D335" s="1">
        <v>44</v>
      </c>
      <c r="E335" s="1" t="s">
        <v>32</v>
      </c>
      <c r="F335" s="1" t="s">
        <v>21</v>
      </c>
      <c r="G335" s="1" t="s">
        <v>22</v>
      </c>
      <c r="H335" s="1" t="s">
        <v>35</v>
      </c>
      <c r="I335" s="1">
        <v>259.8</v>
      </c>
      <c r="J335" s="1">
        <v>4</v>
      </c>
      <c r="K335" s="1">
        <v>5</v>
      </c>
      <c r="L335" s="1" t="s">
        <v>43</v>
      </c>
      <c r="M335" s="1">
        <v>5</v>
      </c>
      <c r="N335" s="1">
        <v>3</v>
      </c>
      <c r="O335" s="1">
        <v>987.24</v>
      </c>
      <c r="P335" cm="1">
        <f t="array" ref="P335">_xlfn.IFS(O335&gt;=3000,20%,O335&gt;=1000,15%,O335&gt;=500,10%,O335&gt;=200,5%,O335&lt;200,0%)</f>
        <v>0.1</v>
      </c>
      <c r="Q335">
        <f t="shared" si="10"/>
        <v>98.724000000000004</v>
      </c>
      <c r="R335" t="str">
        <f t="shared" si="11"/>
        <v>Low Risk</v>
      </c>
    </row>
    <row r="336" spans="1:18" x14ac:dyDescent="0.35">
      <c r="A336" s="1" t="s">
        <v>474</v>
      </c>
      <c r="B336" s="2">
        <v>45297</v>
      </c>
      <c r="C336" s="1" t="s">
        <v>91</v>
      </c>
      <c r="D336" s="1">
        <v>26</v>
      </c>
      <c r="E336" s="1" t="s">
        <v>20</v>
      </c>
      <c r="F336" s="1" t="s">
        <v>51</v>
      </c>
      <c r="G336" s="1" t="s">
        <v>22</v>
      </c>
      <c r="H336" s="1" t="s">
        <v>55</v>
      </c>
      <c r="I336" s="1">
        <v>918.92</v>
      </c>
      <c r="J336" s="1">
        <v>2</v>
      </c>
      <c r="K336" s="1">
        <v>0</v>
      </c>
      <c r="L336" s="1" t="s">
        <v>52</v>
      </c>
      <c r="M336" s="1">
        <v>5</v>
      </c>
      <c r="N336" s="1">
        <v>8</v>
      </c>
      <c r="O336" s="1">
        <v>1837.84</v>
      </c>
      <c r="P336" cm="1">
        <f t="array" ref="P336">_xlfn.IFS(O336&gt;=3000,20%,O336&gt;=1000,15%,O336&gt;=500,10%,O336&gt;=200,5%,O336&lt;200,0%)</f>
        <v>0.15</v>
      </c>
      <c r="Q336">
        <f t="shared" si="10"/>
        <v>275.67599999999999</v>
      </c>
      <c r="R336" t="str">
        <f t="shared" si="11"/>
        <v>Low Risk</v>
      </c>
    </row>
    <row r="337" spans="1:18" x14ac:dyDescent="0.35">
      <c r="A337" s="1" t="s">
        <v>475</v>
      </c>
      <c r="B337" s="2">
        <v>45390</v>
      </c>
      <c r="C337" s="1" t="s">
        <v>140</v>
      </c>
      <c r="D337" s="1">
        <v>43</v>
      </c>
      <c r="E337" s="1" t="s">
        <v>20</v>
      </c>
      <c r="F337" s="1" t="s">
        <v>33</v>
      </c>
      <c r="G337" s="1" t="s">
        <v>47</v>
      </c>
      <c r="H337" s="1" t="s">
        <v>42</v>
      </c>
      <c r="I337" s="1">
        <v>476.12</v>
      </c>
      <c r="J337" s="1">
        <v>3</v>
      </c>
      <c r="K337" s="1">
        <v>0</v>
      </c>
      <c r="L337" s="1" t="s">
        <v>43</v>
      </c>
      <c r="M337" s="1">
        <v>3</v>
      </c>
      <c r="N337" s="1">
        <v>8</v>
      </c>
      <c r="O337" s="1">
        <v>1428.36</v>
      </c>
      <c r="P337" cm="1">
        <f t="array" ref="P337">_xlfn.IFS(O337&gt;=3000,20%,O337&gt;=1000,15%,O337&gt;=500,10%,O337&gt;=200,5%,O337&lt;200,0%)</f>
        <v>0.15</v>
      </c>
      <c r="Q337">
        <f t="shared" si="10"/>
        <v>214.25399999999999</v>
      </c>
      <c r="R337" t="str">
        <f t="shared" si="11"/>
        <v>Medium Risk</v>
      </c>
    </row>
    <row r="338" spans="1:18" x14ac:dyDescent="0.35">
      <c r="A338" s="1" t="s">
        <v>476</v>
      </c>
      <c r="B338" s="2">
        <v>45524</v>
      </c>
      <c r="C338" s="1" t="s">
        <v>233</v>
      </c>
      <c r="D338" s="1">
        <v>39</v>
      </c>
      <c r="E338" s="1" t="s">
        <v>20</v>
      </c>
      <c r="F338" s="1" t="s">
        <v>46</v>
      </c>
      <c r="G338" s="1" t="s">
        <v>34</v>
      </c>
      <c r="H338" s="1" t="s">
        <v>96</v>
      </c>
      <c r="I338" s="1">
        <v>623.30999999999995</v>
      </c>
      <c r="J338" s="1">
        <v>4</v>
      </c>
      <c r="K338" s="1">
        <v>20</v>
      </c>
      <c r="L338" s="1" t="s">
        <v>52</v>
      </c>
      <c r="M338" s="1">
        <v>5</v>
      </c>
      <c r="N338" s="1">
        <v>4</v>
      </c>
      <c r="O338" s="1">
        <v>1994.5920000000001</v>
      </c>
      <c r="P338" cm="1">
        <f t="array" ref="P338">_xlfn.IFS(O338&gt;=3000,20%,O338&gt;=1000,15%,O338&gt;=500,10%,O338&gt;=200,5%,O338&lt;200,0%)</f>
        <v>0.15</v>
      </c>
      <c r="Q338">
        <f t="shared" si="10"/>
        <v>299.18880000000001</v>
      </c>
      <c r="R338" t="str">
        <f t="shared" si="11"/>
        <v>Medium Risk</v>
      </c>
    </row>
    <row r="339" spans="1:18" x14ac:dyDescent="0.35">
      <c r="A339" s="1" t="s">
        <v>477</v>
      </c>
      <c r="B339" s="2">
        <v>45328</v>
      </c>
      <c r="C339" s="1" t="s">
        <v>442</v>
      </c>
      <c r="D339" s="1">
        <v>47</v>
      </c>
      <c r="E339" s="1" t="s">
        <v>32</v>
      </c>
      <c r="F339" s="1" t="s">
        <v>51</v>
      </c>
      <c r="G339" s="1" t="s">
        <v>38</v>
      </c>
      <c r="H339" s="1" t="s">
        <v>96</v>
      </c>
      <c r="I339" s="1">
        <v>600.94000000000005</v>
      </c>
      <c r="J339" s="1">
        <v>4</v>
      </c>
      <c r="K339" s="1">
        <v>20</v>
      </c>
      <c r="L339" s="1" t="s">
        <v>24</v>
      </c>
      <c r="N339" s="1">
        <v>6</v>
      </c>
      <c r="O339" s="1">
        <v>1923.008</v>
      </c>
      <c r="P339" cm="1">
        <f t="array" ref="P339">_xlfn.IFS(O339&gt;=3000,20%,O339&gt;=1000,15%,O339&gt;=500,10%,O339&gt;=200,5%,O339&lt;200,0%)</f>
        <v>0.15</v>
      </c>
      <c r="Q339">
        <f t="shared" si="10"/>
        <v>288.45119999999997</v>
      </c>
      <c r="R339" t="str">
        <f t="shared" si="11"/>
        <v>Missing Data</v>
      </c>
    </row>
    <row r="340" spans="1:18" x14ac:dyDescent="0.35">
      <c r="A340" s="1" t="s">
        <v>478</v>
      </c>
      <c r="B340" s="2">
        <v>45571</v>
      </c>
      <c r="C340" s="1" t="s">
        <v>54</v>
      </c>
      <c r="D340" s="1">
        <v>34</v>
      </c>
      <c r="E340" s="1" t="s">
        <v>32</v>
      </c>
      <c r="F340" s="1" t="s">
        <v>46</v>
      </c>
      <c r="G340" s="1" t="s">
        <v>22</v>
      </c>
      <c r="H340" s="1" t="s">
        <v>48</v>
      </c>
      <c r="I340" s="1">
        <v>701.19</v>
      </c>
      <c r="J340" s="1">
        <v>3</v>
      </c>
      <c r="K340" s="1">
        <v>20</v>
      </c>
      <c r="L340" s="1" t="s">
        <v>29</v>
      </c>
      <c r="M340" s="1">
        <v>5</v>
      </c>
      <c r="N340" s="1">
        <v>8</v>
      </c>
      <c r="O340" s="1">
        <v>1682.856</v>
      </c>
      <c r="P340" cm="1">
        <f t="array" ref="P340">_xlfn.IFS(O340&gt;=3000,20%,O340&gt;=1000,15%,O340&gt;=500,10%,O340&gt;=200,5%,O340&lt;200,0%)</f>
        <v>0.15</v>
      </c>
      <c r="Q340">
        <f t="shared" si="10"/>
        <v>252.42839999999998</v>
      </c>
      <c r="R340" t="str">
        <f t="shared" si="11"/>
        <v>Medium Risk</v>
      </c>
    </row>
    <row r="341" spans="1:18" x14ac:dyDescent="0.35">
      <c r="A341" s="1" t="s">
        <v>479</v>
      </c>
      <c r="B341" s="2">
        <v>45640</v>
      </c>
      <c r="C341" s="1" t="s">
        <v>134</v>
      </c>
      <c r="D341" s="1">
        <v>43</v>
      </c>
      <c r="E341" s="1" t="s">
        <v>32</v>
      </c>
      <c r="F341" s="1" t="s">
        <v>51</v>
      </c>
      <c r="G341" s="1" t="s">
        <v>47</v>
      </c>
      <c r="H341" s="1" t="s">
        <v>35</v>
      </c>
      <c r="I341" s="1">
        <v>1041.3800000000001</v>
      </c>
      <c r="J341" s="1">
        <v>2</v>
      </c>
      <c r="K341" s="1">
        <v>0</v>
      </c>
      <c r="L341" s="1" t="s">
        <v>29</v>
      </c>
      <c r="M341" s="1">
        <v>5</v>
      </c>
      <c r="N341" s="1">
        <v>7</v>
      </c>
      <c r="O341" s="1">
        <v>2082.7600000000002</v>
      </c>
      <c r="P341" cm="1">
        <f t="array" ref="P341">_xlfn.IFS(O341&gt;=3000,20%,O341&gt;=1000,15%,O341&gt;=500,10%,O341&gt;=200,5%,O341&lt;200,0%)</f>
        <v>0.15</v>
      </c>
      <c r="Q341">
        <f t="shared" si="10"/>
        <v>312.41400000000004</v>
      </c>
      <c r="R341" t="str">
        <f t="shared" si="11"/>
        <v>Low Risk</v>
      </c>
    </row>
    <row r="342" spans="1:18" x14ac:dyDescent="0.35">
      <c r="A342" s="1" t="s">
        <v>480</v>
      </c>
      <c r="B342" s="2">
        <v>45593</v>
      </c>
      <c r="C342" s="1" t="s">
        <v>50</v>
      </c>
      <c r="D342" s="1">
        <v>53</v>
      </c>
      <c r="E342" s="1" t="s">
        <v>20</v>
      </c>
      <c r="F342" s="1" t="s">
        <v>21</v>
      </c>
      <c r="G342" s="1" t="s">
        <v>34</v>
      </c>
      <c r="H342" s="1" t="s">
        <v>48</v>
      </c>
      <c r="I342" s="1">
        <v>1177.27</v>
      </c>
      <c r="J342" s="1">
        <v>1</v>
      </c>
      <c r="K342" s="1">
        <v>5</v>
      </c>
      <c r="L342" s="1" t="s">
        <v>29</v>
      </c>
      <c r="M342" s="1">
        <v>1</v>
      </c>
      <c r="N342" s="1">
        <v>7</v>
      </c>
      <c r="O342" s="1">
        <v>1118.4065000000001</v>
      </c>
      <c r="P342" cm="1">
        <f t="array" ref="P342">_xlfn.IFS(O342&gt;=3000,20%,O342&gt;=1000,15%,O342&gt;=500,10%,O342&gt;=200,5%,O342&lt;200,0%)</f>
        <v>0.15</v>
      </c>
      <c r="Q342">
        <f t="shared" si="10"/>
        <v>167.760975</v>
      </c>
      <c r="R342" t="str">
        <f t="shared" si="11"/>
        <v>High Risk</v>
      </c>
    </row>
    <row r="343" spans="1:18" x14ac:dyDescent="0.35">
      <c r="A343" s="1" t="s">
        <v>481</v>
      </c>
      <c r="B343" s="2">
        <v>45472</v>
      </c>
      <c r="C343" s="1" t="s">
        <v>130</v>
      </c>
      <c r="D343" s="1">
        <v>18</v>
      </c>
      <c r="E343" s="1" t="s">
        <v>32</v>
      </c>
      <c r="F343" s="1" t="s">
        <v>33</v>
      </c>
      <c r="G343" s="1" t="s">
        <v>34</v>
      </c>
      <c r="H343" s="1" t="s">
        <v>48</v>
      </c>
      <c r="I343" s="1">
        <v>500.95</v>
      </c>
      <c r="J343" s="1">
        <v>3</v>
      </c>
      <c r="K343" s="1">
        <v>15</v>
      </c>
      <c r="L343" s="1" t="s">
        <v>29</v>
      </c>
      <c r="M343" s="1">
        <v>3</v>
      </c>
      <c r="N343" s="1">
        <v>4</v>
      </c>
      <c r="O343" s="1">
        <v>1277.4224999999999</v>
      </c>
      <c r="P343" cm="1">
        <f t="array" ref="P343">_xlfn.IFS(O343&gt;=3000,20%,O343&gt;=1000,15%,O343&gt;=500,10%,O343&gt;=200,5%,O343&lt;200,0%)</f>
        <v>0.15</v>
      </c>
      <c r="Q343">
        <f t="shared" si="10"/>
        <v>191.61337499999999</v>
      </c>
      <c r="R343" t="str">
        <f t="shared" si="11"/>
        <v>Medium Risk</v>
      </c>
    </row>
    <row r="344" spans="1:18" x14ac:dyDescent="0.35">
      <c r="A344" s="1" t="s">
        <v>482</v>
      </c>
      <c r="B344" s="2">
        <v>45386</v>
      </c>
      <c r="C344" s="1" t="s">
        <v>174</v>
      </c>
      <c r="D344" s="1">
        <v>25</v>
      </c>
      <c r="E344" s="1" t="s">
        <v>20</v>
      </c>
      <c r="F344" s="1" t="s">
        <v>51</v>
      </c>
      <c r="G344" s="1" t="s">
        <v>38</v>
      </c>
      <c r="H344" s="1" t="s">
        <v>42</v>
      </c>
      <c r="I344" s="1">
        <v>996.47</v>
      </c>
      <c r="J344" s="1">
        <v>1</v>
      </c>
      <c r="K344" s="1">
        <v>20</v>
      </c>
      <c r="L344" s="1" t="s">
        <v>52</v>
      </c>
      <c r="M344" s="1">
        <v>2</v>
      </c>
      <c r="N344" s="1">
        <v>9</v>
      </c>
      <c r="O344" s="1">
        <v>797.17600000000004</v>
      </c>
      <c r="P344" cm="1">
        <f t="array" ref="P344">_xlfn.IFS(O344&gt;=3000,20%,O344&gt;=1000,15%,O344&gt;=500,10%,O344&gt;=200,5%,O344&lt;200,0%)</f>
        <v>0.1</v>
      </c>
      <c r="Q344">
        <f t="shared" si="10"/>
        <v>79.717600000000004</v>
      </c>
      <c r="R344" t="str">
        <f t="shared" si="11"/>
        <v>Medium Risk</v>
      </c>
    </row>
    <row r="345" spans="1:18" x14ac:dyDescent="0.35">
      <c r="A345" s="1" t="s">
        <v>483</v>
      </c>
      <c r="B345" s="2">
        <v>45390</v>
      </c>
      <c r="C345" s="1" t="s">
        <v>140</v>
      </c>
      <c r="D345" s="1">
        <v>52</v>
      </c>
      <c r="E345" s="1" t="s">
        <v>32</v>
      </c>
      <c r="F345" s="1" t="s">
        <v>27</v>
      </c>
      <c r="G345" s="1" t="s">
        <v>47</v>
      </c>
      <c r="H345" s="1" t="s">
        <v>64</v>
      </c>
      <c r="I345" s="1">
        <v>922.14</v>
      </c>
      <c r="J345" s="1">
        <v>1</v>
      </c>
      <c r="K345" s="1">
        <v>5</v>
      </c>
      <c r="L345" s="1" t="s">
        <v>52</v>
      </c>
      <c r="M345" s="1">
        <v>1</v>
      </c>
      <c r="N345" s="1">
        <v>6</v>
      </c>
      <c r="O345" s="1">
        <v>876.03300000000002</v>
      </c>
      <c r="P345" cm="1">
        <f t="array" ref="P345">_xlfn.IFS(O345&gt;=3000,20%,O345&gt;=1000,15%,O345&gt;=500,10%,O345&gt;=200,5%,O345&lt;200,0%)</f>
        <v>0.1</v>
      </c>
      <c r="Q345">
        <f t="shared" si="10"/>
        <v>87.603300000000004</v>
      </c>
      <c r="R345" t="str">
        <f t="shared" si="11"/>
        <v>High Risk</v>
      </c>
    </row>
    <row r="346" spans="1:18" x14ac:dyDescent="0.35">
      <c r="A346" s="1" t="s">
        <v>484</v>
      </c>
      <c r="B346" s="2">
        <v>45479</v>
      </c>
      <c r="C346" s="1" t="s">
        <v>118</v>
      </c>
      <c r="D346" s="1">
        <v>32</v>
      </c>
      <c r="E346" s="1" t="s">
        <v>20</v>
      </c>
      <c r="F346" s="1" t="s">
        <v>27</v>
      </c>
      <c r="G346" s="1" t="s">
        <v>34</v>
      </c>
      <c r="H346" s="1" t="s">
        <v>35</v>
      </c>
      <c r="I346" s="1">
        <v>696.76</v>
      </c>
      <c r="J346" s="1">
        <v>3</v>
      </c>
      <c r="K346" s="1">
        <v>10</v>
      </c>
      <c r="L346" s="1" t="s">
        <v>43</v>
      </c>
      <c r="M346" s="1">
        <v>4</v>
      </c>
      <c r="N346" s="1">
        <v>3</v>
      </c>
      <c r="O346" s="1">
        <v>1881.252</v>
      </c>
      <c r="P346" cm="1">
        <f t="array" ref="P346">_xlfn.IFS(O346&gt;=3000,20%,O346&gt;=1000,15%,O346&gt;=500,10%,O346&gt;=200,5%,O346&lt;200,0%)</f>
        <v>0.15</v>
      </c>
      <c r="Q346">
        <f t="shared" si="10"/>
        <v>282.18779999999998</v>
      </c>
      <c r="R346" t="str">
        <f t="shared" si="11"/>
        <v>Low Risk</v>
      </c>
    </row>
    <row r="347" spans="1:18" x14ac:dyDescent="0.35">
      <c r="A347" s="1" t="s">
        <v>485</v>
      </c>
      <c r="B347" s="2">
        <v>45407</v>
      </c>
      <c r="C347" s="1" t="s">
        <v>107</v>
      </c>
      <c r="D347" s="1">
        <v>39</v>
      </c>
      <c r="E347" s="1" t="s">
        <v>32</v>
      </c>
      <c r="F347" s="1" t="s">
        <v>51</v>
      </c>
      <c r="G347" s="1" t="s">
        <v>22</v>
      </c>
      <c r="H347" s="1" t="s">
        <v>125</v>
      </c>
      <c r="I347" s="1">
        <v>1148.1400000000001</v>
      </c>
      <c r="J347" s="1">
        <v>4</v>
      </c>
      <c r="K347" s="1">
        <v>20</v>
      </c>
      <c r="L347" s="1" t="s">
        <v>52</v>
      </c>
      <c r="M347" s="1">
        <v>3</v>
      </c>
      <c r="N347" s="1">
        <v>5</v>
      </c>
      <c r="O347" s="1">
        <v>3674.0479999999998</v>
      </c>
      <c r="P347" cm="1">
        <f t="array" ref="P347">_xlfn.IFS(O347&gt;=3000,20%,O347&gt;=1000,15%,O347&gt;=500,10%,O347&gt;=200,5%,O347&lt;200,0%)</f>
        <v>0.2</v>
      </c>
      <c r="Q347">
        <f t="shared" si="10"/>
        <v>734.80960000000005</v>
      </c>
      <c r="R347" t="str">
        <f t="shared" si="11"/>
        <v>Medium Risk</v>
      </c>
    </row>
    <row r="348" spans="1:18" x14ac:dyDescent="0.35">
      <c r="A348" s="1" t="s">
        <v>486</v>
      </c>
      <c r="B348" s="2">
        <v>45482</v>
      </c>
      <c r="C348" s="1" t="s">
        <v>352</v>
      </c>
      <c r="D348" s="1">
        <v>31</v>
      </c>
      <c r="E348" s="1" t="s">
        <v>32</v>
      </c>
      <c r="F348" s="1" t="s">
        <v>51</v>
      </c>
      <c r="G348" s="1" t="s">
        <v>38</v>
      </c>
      <c r="H348" s="1" t="s">
        <v>28</v>
      </c>
      <c r="I348" s="1">
        <v>256.56</v>
      </c>
      <c r="J348" s="1">
        <v>1</v>
      </c>
      <c r="K348" s="1">
        <v>15</v>
      </c>
      <c r="L348" s="1" t="s">
        <v>43</v>
      </c>
      <c r="N348" s="1">
        <v>5</v>
      </c>
      <c r="O348" s="1">
        <v>218.07599999999999</v>
      </c>
      <c r="P348" cm="1">
        <f t="array" ref="P348">_xlfn.IFS(O348&gt;=3000,20%,O348&gt;=1000,15%,O348&gt;=500,10%,O348&gt;=200,5%,O348&lt;200,0%)</f>
        <v>0.05</v>
      </c>
      <c r="Q348">
        <f t="shared" si="10"/>
        <v>10.9038</v>
      </c>
      <c r="R348" t="str">
        <f t="shared" si="11"/>
        <v>Missing Data</v>
      </c>
    </row>
    <row r="349" spans="1:18" x14ac:dyDescent="0.35">
      <c r="A349" s="1" t="s">
        <v>487</v>
      </c>
      <c r="B349" s="2">
        <v>45544</v>
      </c>
      <c r="C349" s="1" t="s">
        <v>270</v>
      </c>
      <c r="D349" s="1">
        <v>43</v>
      </c>
      <c r="E349" s="1" t="s">
        <v>32</v>
      </c>
      <c r="F349" s="1" t="s">
        <v>51</v>
      </c>
      <c r="G349" s="1" t="s">
        <v>47</v>
      </c>
      <c r="H349" s="1" t="s">
        <v>48</v>
      </c>
      <c r="I349" s="1">
        <v>148.93</v>
      </c>
      <c r="J349" s="1">
        <v>1</v>
      </c>
      <c r="K349" s="1">
        <v>10</v>
      </c>
      <c r="L349" s="1" t="s">
        <v>43</v>
      </c>
      <c r="M349" s="1">
        <v>3</v>
      </c>
      <c r="N349" s="1">
        <v>5</v>
      </c>
      <c r="O349" s="1">
        <v>134.03700000000001</v>
      </c>
      <c r="P349" cm="1">
        <f t="array" ref="P349">_xlfn.IFS(O349&gt;=3000,20%,O349&gt;=1000,15%,O349&gt;=500,10%,O349&gt;=200,5%,O349&lt;200,0%)</f>
        <v>0</v>
      </c>
      <c r="Q349">
        <f t="shared" si="10"/>
        <v>0</v>
      </c>
      <c r="R349" t="str">
        <f t="shared" si="11"/>
        <v>Medium Risk</v>
      </c>
    </row>
    <row r="350" spans="1:18" x14ac:dyDescent="0.35">
      <c r="A350" s="1" t="s">
        <v>488</v>
      </c>
      <c r="B350" s="2">
        <v>45452</v>
      </c>
      <c r="C350" s="1" t="s">
        <v>63</v>
      </c>
      <c r="D350" s="1">
        <v>45</v>
      </c>
      <c r="E350" s="1" t="s">
        <v>20</v>
      </c>
      <c r="F350" s="1" t="s">
        <v>27</v>
      </c>
      <c r="G350" s="1" t="s">
        <v>38</v>
      </c>
      <c r="H350" s="1" t="s">
        <v>79</v>
      </c>
      <c r="I350" s="1">
        <v>1027.68</v>
      </c>
      <c r="J350" s="1">
        <v>2</v>
      </c>
      <c r="K350" s="1">
        <v>10</v>
      </c>
      <c r="L350" s="1" t="s">
        <v>29</v>
      </c>
      <c r="M350" s="1">
        <v>4</v>
      </c>
      <c r="N350" s="1">
        <v>8</v>
      </c>
      <c r="O350" s="1">
        <v>1849.8240000000001</v>
      </c>
      <c r="P350" cm="1">
        <f t="array" ref="P350">_xlfn.IFS(O350&gt;=3000,20%,O350&gt;=1000,15%,O350&gt;=500,10%,O350&gt;=200,5%,O350&lt;200,0%)</f>
        <v>0.15</v>
      </c>
      <c r="Q350">
        <f t="shared" si="10"/>
        <v>277.47359999999998</v>
      </c>
      <c r="R350" t="str">
        <f t="shared" si="11"/>
        <v>Low Risk</v>
      </c>
    </row>
    <row r="351" spans="1:18" x14ac:dyDescent="0.35">
      <c r="A351" s="1" t="s">
        <v>489</v>
      </c>
      <c r="B351" s="2">
        <v>45547</v>
      </c>
      <c r="C351" s="1" t="s">
        <v>285</v>
      </c>
      <c r="D351" s="1">
        <v>40</v>
      </c>
      <c r="E351" s="1" t="s">
        <v>20</v>
      </c>
      <c r="F351" s="1" t="s">
        <v>27</v>
      </c>
      <c r="G351" s="1" t="s">
        <v>22</v>
      </c>
      <c r="H351" s="1" t="s">
        <v>23</v>
      </c>
      <c r="I351" s="1">
        <v>538.20000000000005</v>
      </c>
      <c r="J351" s="1">
        <v>4</v>
      </c>
      <c r="K351" s="1">
        <v>15</v>
      </c>
      <c r="L351" s="1" t="s">
        <v>52</v>
      </c>
      <c r="M351" s="1">
        <v>4</v>
      </c>
      <c r="N351" s="1">
        <v>9</v>
      </c>
      <c r="O351" s="1">
        <v>1829.88</v>
      </c>
      <c r="P351" cm="1">
        <f t="array" ref="P351">_xlfn.IFS(O351&gt;=3000,20%,O351&gt;=1000,15%,O351&gt;=500,10%,O351&gt;=200,5%,O351&lt;200,0%)</f>
        <v>0.15</v>
      </c>
      <c r="Q351">
        <f t="shared" si="10"/>
        <v>274.48200000000003</v>
      </c>
      <c r="R351" t="str">
        <f t="shared" si="11"/>
        <v>Medium Risk</v>
      </c>
    </row>
    <row r="352" spans="1:18" x14ac:dyDescent="0.35">
      <c r="A352" s="1" t="s">
        <v>490</v>
      </c>
      <c r="B352" s="2">
        <v>45614</v>
      </c>
      <c r="C352" s="1" t="s">
        <v>201</v>
      </c>
      <c r="D352" s="1">
        <v>31</v>
      </c>
      <c r="E352" s="1" t="s">
        <v>32</v>
      </c>
      <c r="F352" s="1" t="s">
        <v>51</v>
      </c>
      <c r="G352" s="1" t="s">
        <v>47</v>
      </c>
      <c r="H352" s="1" t="s">
        <v>79</v>
      </c>
      <c r="I352" s="1">
        <v>1019.42</v>
      </c>
      <c r="J352" s="1">
        <v>1</v>
      </c>
      <c r="K352" s="1">
        <v>20</v>
      </c>
      <c r="L352" s="1" t="s">
        <v>52</v>
      </c>
      <c r="M352" s="1">
        <v>4</v>
      </c>
      <c r="N352" s="1">
        <v>9</v>
      </c>
      <c r="O352" s="1">
        <v>815.53599999999994</v>
      </c>
      <c r="P352" cm="1">
        <f t="array" ref="P352">_xlfn.IFS(O352&gt;=3000,20%,O352&gt;=1000,15%,O352&gt;=500,10%,O352&gt;=200,5%,O352&lt;200,0%)</f>
        <v>0.1</v>
      </c>
      <c r="Q352">
        <f t="shared" si="10"/>
        <v>81.553600000000003</v>
      </c>
      <c r="R352" t="str">
        <f t="shared" si="11"/>
        <v>Medium Risk</v>
      </c>
    </row>
    <row r="353" spans="1:18" x14ac:dyDescent="0.35">
      <c r="A353" s="1" t="s">
        <v>491</v>
      </c>
      <c r="B353" s="2">
        <v>45419</v>
      </c>
      <c r="C353" s="1" t="s">
        <v>111</v>
      </c>
      <c r="D353" s="1">
        <v>41</v>
      </c>
      <c r="E353" s="1" t="s">
        <v>32</v>
      </c>
      <c r="F353" s="1" t="s">
        <v>46</v>
      </c>
      <c r="G353" s="1" t="s">
        <v>38</v>
      </c>
      <c r="H353" s="1" t="s">
        <v>42</v>
      </c>
      <c r="I353" s="1">
        <v>1073.8499999999999</v>
      </c>
      <c r="J353" s="1">
        <v>2</v>
      </c>
      <c r="K353" s="1">
        <v>0</v>
      </c>
      <c r="L353" s="1" t="s">
        <v>43</v>
      </c>
      <c r="M353" s="1">
        <v>2</v>
      </c>
      <c r="N353" s="1">
        <v>6</v>
      </c>
      <c r="O353" s="1">
        <v>2147.6999999999998</v>
      </c>
      <c r="P353" cm="1">
        <f t="array" ref="P353">_xlfn.IFS(O353&gt;=3000,20%,O353&gt;=1000,15%,O353&gt;=500,10%,O353&gt;=200,5%,O353&lt;200,0%)</f>
        <v>0.15</v>
      </c>
      <c r="Q353">
        <f t="shared" si="10"/>
        <v>322.15499999999997</v>
      </c>
      <c r="R353" t="str">
        <f t="shared" si="11"/>
        <v>Medium Risk</v>
      </c>
    </row>
    <row r="354" spans="1:18" x14ac:dyDescent="0.35">
      <c r="A354" s="1" t="s">
        <v>492</v>
      </c>
      <c r="B354" s="2">
        <v>45309</v>
      </c>
      <c r="C354" s="1" t="s">
        <v>26</v>
      </c>
      <c r="D354" s="1">
        <v>19</v>
      </c>
      <c r="E354" s="1" t="s">
        <v>20</v>
      </c>
      <c r="F354" s="1" t="s">
        <v>46</v>
      </c>
      <c r="G354" s="1" t="s">
        <v>41</v>
      </c>
      <c r="H354" s="1" t="s">
        <v>42</v>
      </c>
      <c r="I354" s="1">
        <v>93.7</v>
      </c>
      <c r="J354" s="1">
        <v>4</v>
      </c>
      <c r="K354" s="1">
        <v>15</v>
      </c>
      <c r="L354" s="1" t="s">
        <v>43</v>
      </c>
      <c r="M354" s="1">
        <v>5</v>
      </c>
      <c r="N354" s="1">
        <v>6</v>
      </c>
      <c r="O354" s="1">
        <v>318.58</v>
      </c>
      <c r="P354" cm="1">
        <f t="array" ref="P354">_xlfn.IFS(O354&gt;=3000,20%,O354&gt;=1000,15%,O354&gt;=500,10%,O354&gt;=200,5%,O354&lt;200,0%)</f>
        <v>0.05</v>
      </c>
      <c r="Q354">
        <f t="shared" si="10"/>
        <v>15.929</v>
      </c>
      <c r="R354" t="str">
        <f t="shared" si="11"/>
        <v>Medium Risk</v>
      </c>
    </row>
    <row r="355" spans="1:18" x14ac:dyDescent="0.35">
      <c r="A355" s="1" t="s">
        <v>493</v>
      </c>
      <c r="B355" s="2">
        <v>45572</v>
      </c>
      <c r="C355" s="1" t="s">
        <v>137</v>
      </c>
      <c r="D355" s="1">
        <v>43</v>
      </c>
      <c r="E355" s="1" t="s">
        <v>20</v>
      </c>
      <c r="F355" s="1" t="s">
        <v>21</v>
      </c>
      <c r="G355" s="1" t="s">
        <v>22</v>
      </c>
      <c r="H355" s="1" t="s">
        <v>55</v>
      </c>
      <c r="I355" s="1">
        <v>1062.49</v>
      </c>
      <c r="J355" s="1">
        <v>3</v>
      </c>
      <c r="K355" s="1">
        <v>15</v>
      </c>
      <c r="L355" s="1" t="s">
        <v>24</v>
      </c>
      <c r="M355" s="1">
        <v>3</v>
      </c>
      <c r="N355" s="1">
        <v>9</v>
      </c>
      <c r="O355" s="1">
        <v>2709.3494999999998</v>
      </c>
      <c r="P355" cm="1">
        <f t="array" ref="P355">_xlfn.IFS(O355&gt;=3000,20%,O355&gt;=1000,15%,O355&gt;=500,10%,O355&gt;=200,5%,O355&lt;200,0%)</f>
        <v>0.15</v>
      </c>
      <c r="Q355">
        <f t="shared" si="10"/>
        <v>406.40242499999994</v>
      </c>
      <c r="R355" t="str">
        <f t="shared" si="11"/>
        <v>Medium Risk</v>
      </c>
    </row>
    <row r="356" spans="1:18" x14ac:dyDescent="0.35">
      <c r="A356" s="1" t="s">
        <v>494</v>
      </c>
      <c r="B356" s="2">
        <v>45514</v>
      </c>
      <c r="C356" s="1" t="s">
        <v>66</v>
      </c>
      <c r="D356" s="1">
        <v>31</v>
      </c>
      <c r="E356" s="1" t="s">
        <v>20</v>
      </c>
      <c r="F356" s="1" t="s">
        <v>33</v>
      </c>
      <c r="G356" s="1" t="s">
        <v>22</v>
      </c>
      <c r="H356" s="1" t="s">
        <v>64</v>
      </c>
      <c r="I356" s="1">
        <v>549.02</v>
      </c>
      <c r="J356" s="1">
        <v>3</v>
      </c>
      <c r="K356" s="1">
        <v>15</v>
      </c>
      <c r="L356" s="1" t="s">
        <v>24</v>
      </c>
      <c r="M356" s="1">
        <v>5</v>
      </c>
      <c r="N356" s="1">
        <v>4</v>
      </c>
      <c r="O356" s="1">
        <v>1400.001</v>
      </c>
      <c r="P356" cm="1">
        <f t="array" ref="P356">_xlfn.IFS(O356&gt;=3000,20%,O356&gt;=1000,15%,O356&gt;=500,10%,O356&gt;=200,5%,O356&lt;200,0%)</f>
        <v>0.15</v>
      </c>
      <c r="Q356">
        <f t="shared" si="10"/>
        <v>210.00014999999999</v>
      </c>
      <c r="R356" t="str">
        <f t="shared" si="11"/>
        <v>Medium Risk</v>
      </c>
    </row>
    <row r="357" spans="1:18" x14ac:dyDescent="0.35">
      <c r="A357" s="1" t="s">
        <v>495</v>
      </c>
      <c r="B357" s="2">
        <v>45345</v>
      </c>
      <c r="C357" s="1" t="s">
        <v>264</v>
      </c>
      <c r="D357" s="1">
        <v>24</v>
      </c>
      <c r="E357" s="1" t="s">
        <v>32</v>
      </c>
      <c r="F357" s="1" t="s">
        <v>46</v>
      </c>
      <c r="G357" s="1" t="s">
        <v>22</v>
      </c>
      <c r="H357" s="1" t="s">
        <v>28</v>
      </c>
      <c r="I357" s="1">
        <v>622.30999999999995</v>
      </c>
      <c r="J357" s="1">
        <v>2</v>
      </c>
      <c r="K357" s="1">
        <v>10</v>
      </c>
      <c r="L357" s="1" t="s">
        <v>43</v>
      </c>
      <c r="M357" s="1">
        <v>5</v>
      </c>
      <c r="N357" s="1">
        <v>6</v>
      </c>
      <c r="O357" s="1">
        <v>1120.1579999999999</v>
      </c>
      <c r="P357" cm="1">
        <f t="array" ref="P357">_xlfn.IFS(O357&gt;=3000,20%,O357&gt;=1000,15%,O357&gt;=500,10%,O357&gt;=200,5%,O357&lt;200,0%)</f>
        <v>0.15</v>
      </c>
      <c r="Q357">
        <f t="shared" si="10"/>
        <v>168.02369999999999</v>
      </c>
      <c r="R357" t="str">
        <f t="shared" si="11"/>
        <v>Low Risk</v>
      </c>
    </row>
    <row r="358" spans="1:18" x14ac:dyDescent="0.35">
      <c r="A358" s="1" t="s">
        <v>496</v>
      </c>
      <c r="B358" s="2">
        <v>45349</v>
      </c>
      <c r="C358" s="1" t="s">
        <v>111</v>
      </c>
      <c r="E358" s="1" t="s">
        <v>20</v>
      </c>
      <c r="G358" s="1" t="s">
        <v>41</v>
      </c>
      <c r="H358" s="1" t="s">
        <v>48</v>
      </c>
      <c r="I358" s="1">
        <v>759.38</v>
      </c>
      <c r="J358" s="1">
        <v>3</v>
      </c>
      <c r="K358" s="1">
        <v>5</v>
      </c>
      <c r="L358" s="1" t="s">
        <v>24</v>
      </c>
      <c r="N358" s="1">
        <v>4</v>
      </c>
      <c r="O358" s="1">
        <v>2164.2330000000002</v>
      </c>
      <c r="P358" cm="1">
        <f t="array" ref="P358">_xlfn.IFS(O358&gt;=3000,20%,O358&gt;=1000,15%,O358&gt;=500,10%,O358&gt;=200,5%,O358&lt;200,0%)</f>
        <v>0.15</v>
      </c>
      <c r="Q358">
        <f t="shared" si="10"/>
        <v>324.63495</v>
      </c>
      <c r="R358" t="str">
        <f t="shared" si="11"/>
        <v>Missing Data</v>
      </c>
    </row>
    <row r="359" spans="1:18" x14ac:dyDescent="0.35">
      <c r="A359" s="1" t="s">
        <v>497</v>
      </c>
      <c r="B359" s="2">
        <v>45614</v>
      </c>
      <c r="C359" s="1" t="s">
        <v>50</v>
      </c>
      <c r="D359" s="1">
        <v>40</v>
      </c>
      <c r="E359" s="1" t="s">
        <v>32</v>
      </c>
      <c r="F359" s="1" t="s">
        <v>46</v>
      </c>
      <c r="G359" s="1" t="s">
        <v>41</v>
      </c>
      <c r="H359" s="1" t="s">
        <v>79</v>
      </c>
      <c r="I359" s="1">
        <v>1113.1300000000001</v>
      </c>
      <c r="J359" s="1">
        <v>1</v>
      </c>
      <c r="K359" s="1">
        <v>0</v>
      </c>
      <c r="L359" s="1" t="s">
        <v>24</v>
      </c>
      <c r="M359" s="1">
        <v>4</v>
      </c>
      <c r="N359" s="1">
        <v>1</v>
      </c>
      <c r="O359" s="1">
        <v>1113.1300000000001</v>
      </c>
      <c r="P359" cm="1">
        <f t="array" ref="P359">_xlfn.IFS(O359&gt;=3000,20%,O359&gt;=1000,15%,O359&gt;=500,10%,O359&gt;=200,5%,O359&lt;200,0%)</f>
        <v>0.15</v>
      </c>
      <c r="Q359">
        <f t="shared" si="10"/>
        <v>166.96950000000001</v>
      </c>
      <c r="R359" t="str">
        <f t="shared" si="11"/>
        <v>Low Risk</v>
      </c>
    </row>
    <row r="360" spans="1:18" x14ac:dyDescent="0.35">
      <c r="A360" s="1" t="s">
        <v>498</v>
      </c>
      <c r="B360" s="2">
        <v>45651</v>
      </c>
      <c r="C360" s="1" t="s">
        <v>436</v>
      </c>
      <c r="D360" s="1">
        <v>35</v>
      </c>
      <c r="E360" s="1" t="s">
        <v>20</v>
      </c>
      <c r="F360" s="1" t="s">
        <v>21</v>
      </c>
      <c r="G360" s="1" t="s">
        <v>34</v>
      </c>
      <c r="H360" s="1" t="s">
        <v>23</v>
      </c>
      <c r="I360" s="1">
        <v>42.56</v>
      </c>
      <c r="J360" s="1">
        <v>4</v>
      </c>
      <c r="K360" s="1">
        <v>20</v>
      </c>
      <c r="L360" s="1" t="s">
        <v>43</v>
      </c>
      <c r="M360" s="1">
        <v>2</v>
      </c>
      <c r="N360" s="1">
        <v>7</v>
      </c>
      <c r="O360" s="1">
        <v>136.19200000000001</v>
      </c>
      <c r="P360" cm="1">
        <f t="array" ref="P360">_xlfn.IFS(O360&gt;=3000,20%,O360&gt;=1000,15%,O360&gt;=500,10%,O360&gt;=200,5%,O360&lt;200,0%)</f>
        <v>0</v>
      </c>
      <c r="Q360">
        <f t="shared" si="10"/>
        <v>0</v>
      </c>
      <c r="R360" t="str">
        <f t="shared" si="11"/>
        <v>Medium Risk</v>
      </c>
    </row>
    <row r="361" spans="1:18" x14ac:dyDescent="0.35">
      <c r="A361" s="1" t="s">
        <v>499</v>
      </c>
      <c r="B361" s="2">
        <v>45465</v>
      </c>
      <c r="C361" s="1" t="s">
        <v>109</v>
      </c>
      <c r="D361" s="1">
        <v>55</v>
      </c>
      <c r="E361" s="1" t="s">
        <v>32</v>
      </c>
      <c r="F361" s="1" t="s">
        <v>21</v>
      </c>
      <c r="G361" s="1" t="s">
        <v>38</v>
      </c>
      <c r="H361" s="1" t="s">
        <v>42</v>
      </c>
      <c r="I361" s="1">
        <v>582.67999999999995</v>
      </c>
      <c r="J361" s="1">
        <v>1</v>
      </c>
      <c r="K361" s="1">
        <v>20</v>
      </c>
      <c r="L361" s="1" t="s">
        <v>43</v>
      </c>
      <c r="N361" s="1">
        <v>6</v>
      </c>
      <c r="O361" s="1">
        <v>466.14400000000001</v>
      </c>
      <c r="P361" cm="1">
        <f t="array" ref="P361">_xlfn.IFS(O361&gt;=3000,20%,O361&gt;=1000,15%,O361&gt;=500,10%,O361&gt;=200,5%,O361&lt;200,0%)</f>
        <v>0.05</v>
      </c>
      <c r="Q361">
        <f t="shared" si="10"/>
        <v>23.307200000000002</v>
      </c>
      <c r="R361" t="str">
        <f t="shared" si="11"/>
        <v>Missing Data</v>
      </c>
    </row>
    <row r="362" spans="1:18" x14ac:dyDescent="0.35">
      <c r="A362" s="1" t="s">
        <v>500</v>
      </c>
      <c r="B362" s="2">
        <v>45571</v>
      </c>
      <c r="C362" s="1" t="s">
        <v>118</v>
      </c>
      <c r="D362" s="1">
        <v>52</v>
      </c>
      <c r="E362" s="1" t="s">
        <v>20</v>
      </c>
      <c r="F362" s="1" t="s">
        <v>33</v>
      </c>
      <c r="G362" s="1" t="s">
        <v>34</v>
      </c>
      <c r="H362" s="1" t="s">
        <v>42</v>
      </c>
      <c r="I362" s="1">
        <v>831.51</v>
      </c>
      <c r="J362" s="1">
        <v>1</v>
      </c>
      <c r="K362" s="1">
        <v>5</v>
      </c>
      <c r="L362" s="1" t="s">
        <v>52</v>
      </c>
      <c r="M362" s="1">
        <v>1</v>
      </c>
      <c r="N362" s="1">
        <v>9</v>
      </c>
      <c r="O362" s="1">
        <v>789.93449999999996</v>
      </c>
      <c r="P362" cm="1">
        <f t="array" ref="P362">_xlfn.IFS(O362&gt;=3000,20%,O362&gt;=1000,15%,O362&gt;=500,10%,O362&gt;=200,5%,O362&lt;200,0%)</f>
        <v>0.1</v>
      </c>
      <c r="Q362">
        <f t="shared" si="10"/>
        <v>78.993449999999996</v>
      </c>
      <c r="R362" t="str">
        <f t="shared" si="11"/>
        <v>High Risk</v>
      </c>
    </row>
    <row r="363" spans="1:18" x14ac:dyDescent="0.35">
      <c r="A363" s="1" t="s">
        <v>501</v>
      </c>
      <c r="B363" s="2">
        <v>45405</v>
      </c>
      <c r="C363" s="1" t="s">
        <v>57</v>
      </c>
      <c r="E363" s="1" t="s">
        <v>20</v>
      </c>
      <c r="G363" s="1" t="s">
        <v>38</v>
      </c>
      <c r="H363" s="1" t="s">
        <v>64</v>
      </c>
      <c r="I363" s="1">
        <v>872.79</v>
      </c>
      <c r="J363" s="1">
        <v>3</v>
      </c>
      <c r="K363" s="1">
        <v>15</v>
      </c>
      <c r="L363" s="1" t="s">
        <v>43</v>
      </c>
      <c r="N363" s="1">
        <v>7</v>
      </c>
      <c r="O363" s="1">
        <v>2225.6145000000001</v>
      </c>
      <c r="P363" cm="1">
        <f t="array" ref="P363">_xlfn.IFS(O363&gt;=3000,20%,O363&gt;=1000,15%,O363&gt;=500,10%,O363&gt;=200,5%,O363&lt;200,0%)</f>
        <v>0.15</v>
      </c>
      <c r="Q363">
        <f t="shared" si="10"/>
        <v>333.842175</v>
      </c>
      <c r="R363" t="str">
        <f t="shared" si="11"/>
        <v>Missing Data</v>
      </c>
    </row>
    <row r="364" spans="1:18" x14ac:dyDescent="0.35">
      <c r="A364" s="1" t="s">
        <v>502</v>
      </c>
      <c r="B364" s="2">
        <v>45579</v>
      </c>
      <c r="C364" s="1" t="s">
        <v>167</v>
      </c>
      <c r="D364" s="1">
        <v>42</v>
      </c>
      <c r="E364" s="1" t="s">
        <v>20</v>
      </c>
      <c r="F364" s="1" t="s">
        <v>27</v>
      </c>
      <c r="G364" s="1" t="s">
        <v>41</v>
      </c>
      <c r="H364" s="1" t="s">
        <v>23</v>
      </c>
      <c r="I364" s="1">
        <v>837.19</v>
      </c>
      <c r="J364" s="1">
        <v>1</v>
      </c>
      <c r="K364" s="1">
        <v>0</v>
      </c>
      <c r="L364" s="1" t="s">
        <v>43</v>
      </c>
      <c r="M364" s="1">
        <v>5</v>
      </c>
      <c r="N364" s="1">
        <v>7</v>
      </c>
      <c r="O364" s="1">
        <v>837.19</v>
      </c>
      <c r="P364" cm="1">
        <f t="array" ref="P364">_xlfn.IFS(O364&gt;=3000,20%,O364&gt;=1000,15%,O364&gt;=500,10%,O364&gt;=200,5%,O364&lt;200,0%)</f>
        <v>0.1</v>
      </c>
      <c r="Q364">
        <f t="shared" si="10"/>
        <v>83.719000000000008</v>
      </c>
      <c r="R364" t="str">
        <f t="shared" si="11"/>
        <v>Low Risk</v>
      </c>
    </row>
    <row r="365" spans="1:18" x14ac:dyDescent="0.35">
      <c r="A365" s="1" t="s">
        <v>503</v>
      </c>
      <c r="B365" s="2">
        <v>45633</v>
      </c>
      <c r="C365" s="1" t="s">
        <v>145</v>
      </c>
      <c r="D365" s="1">
        <v>54</v>
      </c>
      <c r="E365" s="1" t="s">
        <v>20</v>
      </c>
      <c r="F365" s="1" t="s">
        <v>27</v>
      </c>
      <c r="G365" s="1" t="s">
        <v>41</v>
      </c>
      <c r="H365" s="1" t="s">
        <v>23</v>
      </c>
      <c r="I365" s="1">
        <v>178.63</v>
      </c>
      <c r="J365" s="1">
        <v>3</v>
      </c>
      <c r="K365" s="1">
        <v>20</v>
      </c>
      <c r="L365" s="1" t="s">
        <v>29</v>
      </c>
      <c r="M365" s="1">
        <v>2</v>
      </c>
      <c r="N365" s="1">
        <v>2</v>
      </c>
      <c r="O365" s="1">
        <v>428.71199999999999</v>
      </c>
      <c r="P365" cm="1">
        <f t="array" ref="P365">_xlfn.IFS(O365&gt;=3000,20%,O365&gt;=1000,15%,O365&gt;=500,10%,O365&gt;=200,5%,O365&lt;200,0%)</f>
        <v>0.05</v>
      </c>
      <c r="Q365">
        <f t="shared" si="10"/>
        <v>21.435600000000001</v>
      </c>
      <c r="R365" t="str">
        <f t="shared" si="11"/>
        <v>Medium Risk</v>
      </c>
    </row>
    <row r="366" spans="1:18" x14ac:dyDescent="0.35">
      <c r="A366" s="1" t="s">
        <v>504</v>
      </c>
      <c r="B366" s="2">
        <v>45442</v>
      </c>
      <c r="C366" s="1" t="s">
        <v>299</v>
      </c>
      <c r="D366" s="1">
        <v>45</v>
      </c>
      <c r="E366" s="1" t="s">
        <v>20</v>
      </c>
      <c r="F366" s="1" t="s">
        <v>51</v>
      </c>
      <c r="G366" s="1" t="s">
        <v>34</v>
      </c>
      <c r="H366" s="1" t="s">
        <v>64</v>
      </c>
      <c r="I366" s="1">
        <v>373.29</v>
      </c>
      <c r="J366" s="1">
        <v>4</v>
      </c>
      <c r="K366" s="1">
        <v>20</v>
      </c>
      <c r="L366" s="1" t="s">
        <v>52</v>
      </c>
      <c r="M366" s="1">
        <v>4</v>
      </c>
      <c r="N366" s="1">
        <v>9</v>
      </c>
      <c r="O366" s="1">
        <v>1194.528</v>
      </c>
      <c r="P366" cm="1">
        <f t="array" ref="P366">_xlfn.IFS(O366&gt;=3000,20%,O366&gt;=1000,15%,O366&gt;=500,10%,O366&gt;=200,5%,O366&lt;200,0%)</f>
        <v>0.15</v>
      </c>
      <c r="Q366">
        <f t="shared" si="10"/>
        <v>179.17920000000001</v>
      </c>
      <c r="R366" t="str">
        <f t="shared" si="11"/>
        <v>Medium Risk</v>
      </c>
    </row>
    <row r="367" spans="1:18" x14ac:dyDescent="0.35">
      <c r="A367" s="1" t="s">
        <v>505</v>
      </c>
      <c r="B367" s="2">
        <v>45418</v>
      </c>
      <c r="C367" s="1" t="s">
        <v>150</v>
      </c>
      <c r="D367" s="1">
        <v>27</v>
      </c>
      <c r="E367" s="1" t="s">
        <v>32</v>
      </c>
      <c r="F367" s="1" t="s">
        <v>27</v>
      </c>
      <c r="G367" s="1" t="s">
        <v>47</v>
      </c>
      <c r="H367" s="1" t="s">
        <v>42</v>
      </c>
      <c r="I367" s="1">
        <v>443.28</v>
      </c>
      <c r="J367" s="1">
        <v>4</v>
      </c>
      <c r="K367" s="1">
        <v>15</v>
      </c>
      <c r="L367" s="1" t="s">
        <v>52</v>
      </c>
      <c r="M367" s="1">
        <v>1</v>
      </c>
      <c r="N367" s="1">
        <v>9</v>
      </c>
      <c r="O367" s="1">
        <v>1507.152</v>
      </c>
      <c r="P367" cm="1">
        <f t="array" ref="P367">_xlfn.IFS(O367&gt;=3000,20%,O367&gt;=1000,15%,O367&gt;=500,10%,O367&gt;=200,5%,O367&lt;200,0%)</f>
        <v>0.15</v>
      </c>
      <c r="Q367">
        <f t="shared" si="10"/>
        <v>226.0728</v>
      </c>
      <c r="R367" t="str">
        <f t="shared" si="11"/>
        <v>High Risk</v>
      </c>
    </row>
    <row r="368" spans="1:18" x14ac:dyDescent="0.35">
      <c r="A368" s="1" t="s">
        <v>506</v>
      </c>
      <c r="B368" s="2">
        <v>45446</v>
      </c>
      <c r="C368" s="1" t="s">
        <v>169</v>
      </c>
      <c r="D368" s="1">
        <v>56</v>
      </c>
      <c r="E368" s="1" t="s">
        <v>20</v>
      </c>
      <c r="F368" s="1" t="s">
        <v>33</v>
      </c>
      <c r="G368" s="1" t="s">
        <v>34</v>
      </c>
      <c r="H368" s="1" t="s">
        <v>28</v>
      </c>
      <c r="I368" s="1">
        <v>969.24</v>
      </c>
      <c r="J368" s="1">
        <v>1</v>
      </c>
      <c r="K368" s="1">
        <v>5</v>
      </c>
      <c r="L368" s="1" t="s">
        <v>52</v>
      </c>
      <c r="M368" s="1">
        <v>4</v>
      </c>
      <c r="N368" s="1">
        <v>6</v>
      </c>
      <c r="O368" s="1">
        <v>920.77800000000002</v>
      </c>
      <c r="P368" cm="1">
        <f t="array" ref="P368">_xlfn.IFS(O368&gt;=3000,20%,O368&gt;=1000,15%,O368&gt;=500,10%,O368&gt;=200,5%,O368&lt;200,0%)</f>
        <v>0.1</v>
      </c>
      <c r="Q368">
        <f t="shared" si="10"/>
        <v>92.077800000000011</v>
      </c>
      <c r="R368" t="str">
        <f t="shared" si="11"/>
        <v>Low Risk</v>
      </c>
    </row>
    <row r="369" spans="1:18" x14ac:dyDescent="0.35">
      <c r="A369" s="1" t="s">
        <v>507</v>
      </c>
      <c r="B369" s="2">
        <v>45564</v>
      </c>
      <c r="C369" s="1" t="s">
        <v>167</v>
      </c>
      <c r="D369" s="1">
        <v>34</v>
      </c>
      <c r="E369" s="1" t="s">
        <v>20</v>
      </c>
      <c r="F369" s="1" t="s">
        <v>33</v>
      </c>
      <c r="G369" s="1" t="s">
        <v>38</v>
      </c>
      <c r="H369" s="1" t="s">
        <v>35</v>
      </c>
      <c r="I369" s="1">
        <v>348.94</v>
      </c>
      <c r="J369" s="1">
        <v>2</v>
      </c>
      <c r="K369" s="1">
        <v>0</v>
      </c>
      <c r="L369" s="1" t="s">
        <v>29</v>
      </c>
      <c r="M369" s="1">
        <v>1</v>
      </c>
      <c r="N369" s="1">
        <v>3</v>
      </c>
      <c r="O369" s="1">
        <v>697.88</v>
      </c>
      <c r="P369" cm="1">
        <f t="array" ref="P369">_xlfn.IFS(O369&gt;=3000,20%,O369&gt;=1000,15%,O369&gt;=500,10%,O369&gt;=200,5%,O369&lt;200,0%)</f>
        <v>0.1</v>
      </c>
      <c r="Q369">
        <f t="shared" si="10"/>
        <v>69.787999999999997</v>
      </c>
      <c r="R369" t="str">
        <f t="shared" si="11"/>
        <v>High Risk</v>
      </c>
    </row>
    <row r="370" spans="1:18" x14ac:dyDescent="0.35">
      <c r="A370" s="1" t="s">
        <v>508</v>
      </c>
      <c r="B370" s="2">
        <v>45395</v>
      </c>
      <c r="C370" s="1" t="s">
        <v>310</v>
      </c>
      <c r="D370" s="1">
        <v>56</v>
      </c>
      <c r="E370" s="1" t="s">
        <v>20</v>
      </c>
      <c r="F370" s="1" t="s">
        <v>27</v>
      </c>
      <c r="G370" s="1" t="s">
        <v>34</v>
      </c>
      <c r="H370" s="1" t="s">
        <v>35</v>
      </c>
      <c r="I370" s="1">
        <v>268.63</v>
      </c>
      <c r="J370" s="1">
        <v>3</v>
      </c>
      <c r="K370" s="1">
        <v>5</v>
      </c>
      <c r="L370" s="1" t="s">
        <v>43</v>
      </c>
      <c r="N370" s="1">
        <v>1</v>
      </c>
      <c r="O370" s="1">
        <v>765.59550000000002</v>
      </c>
      <c r="P370" cm="1">
        <f t="array" ref="P370">_xlfn.IFS(O370&gt;=3000,20%,O370&gt;=1000,15%,O370&gt;=500,10%,O370&gt;=200,5%,O370&lt;200,0%)</f>
        <v>0.1</v>
      </c>
      <c r="Q370">
        <f t="shared" si="10"/>
        <v>76.559550000000002</v>
      </c>
      <c r="R370" t="str">
        <f t="shared" si="11"/>
        <v>Missing Data</v>
      </c>
    </row>
    <row r="371" spans="1:18" x14ac:dyDescent="0.35">
      <c r="A371" s="1" t="s">
        <v>509</v>
      </c>
      <c r="B371" s="2">
        <v>45590</v>
      </c>
      <c r="C371" s="1" t="s">
        <v>145</v>
      </c>
      <c r="D371" s="1">
        <v>39</v>
      </c>
      <c r="E371" s="1" t="s">
        <v>32</v>
      </c>
      <c r="F371" s="1" t="s">
        <v>27</v>
      </c>
      <c r="G371" s="1" t="s">
        <v>22</v>
      </c>
      <c r="H371" s="1" t="s">
        <v>64</v>
      </c>
      <c r="I371" s="1">
        <v>1149.79</v>
      </c>
      <c r="J371" s="1">
        <v>3</v>
      </c>
      <c r="K371" s="1">
        <v>5</v>
      </c>
      <c r="L371" s="1" t="s">
        <v>52</v>
      </c>
      <c r="M371" s="1">
        <v>5</v>
      </c>
      <c r="N371" s="1">
        <v>4</v>
      </c>
      <c r="O371" s="1">
        <v>3276.9014999999999</v>
      </c>
      <c r="P371" cm="1">
        <f t="array" ref="P371">_xlfn.IFS(O371&gt;=3000,20%,O371&gt;=1000,15%,O371&gt;=500,10%,O371&gt;=200,5%,O371&lt;200,0%)</f>
        <v>0.2</v>
      </c>
      <c r="Q371">
        <f t="shared" si="10"/>
        <v>655.38030000000003</v>
      </c>
      <c r="R371" t="str">
        <f t="shared" si="11"/>
        <v>Low Risk</v>
      </c>
    </row>
    <row r="372" spans="1:18" x14ac:dyDescent="0.35">
      <c r="A372" s="1" t="s">
        <v>510</v>
      </c>
      <c r="B372" s="2">
        <v>45537</v>
      </c>
      <c r="C372" s="1" t="s">
        <v>167</v>
      </c>
      <c r="D372" s="1">
        <v>43</v>
      </c>
      <c r="E372" s="1" t="s">
        <v>20</v>
      </c>
      <c r="F372" s="1" t="s">
        <v>51</v>
      </c>
      <c r="G372" s="1" t="s">
        <v>38</v>
      </c>
      <c r="H372" s="1" t="s">
        <v>23</v>
      </c>
      <c r="I372" s="1">
        <v>30.46</v>
      </c>
      <c r="J372" s="1">
        <v>1</v>
      </c>
      <c r="K372" s="1">
        <v>0</v>
      </c>
      <c r="L372" s="1" t="s">
        <v>52</v>
      </c>
      <c r="M372" s="1">
        <v>1</v>
      </c>
      <c r="N372" s="1">
        <v>3</v>
      </c>
      <c r="O372" s="1">
        <v>30.46</v>
      </c>
      <c r="P372" cm="1">
        <f t="array" ref="P372">_xlfn.IFS(O372&gt;=3000,20%,O372&gt;=1000,15%,O372&gt;=500,10%,O372&gt;=200,5%,O372&lt;200,0%)</f>
        <v>0</v>
      </c>
      <c r="Q372">
        <f t="shared" si="10"/>
        <v>0</v>
      </c>
      <c r="R372" t="str">
        <f t="shared" si="11"/>
        <v>High Risk</v>
      </c>
    </row>
    <row r="373" spans="1:18" x14ac:dyDescent="0.35">
      <c r="A373" s="1" t="s">
        <v>511</v>
      </c>
      <c r="B373" s="2">
        <v>45467</v>
      </c>
      <c r="C373" s="1" t="s">
        <v>204</v>
      </c>
      <c r="E373" s="1" t="s">
        <v>32</v>
      </c>
      <c r="G373" s="1" t="s">
        <v>38</v>
      </c>
      <c r="H373" s="1" t="s">
        <v>48</v>
      </c>
      <c r="I373" s="1">
        <v>1197.43</v>
      </c>
      <c r="J373" s="1">
        <v>3</v>
      </c>
      <c r="K373" s="1">
        <v>0</v>
      </c>
      <c r="L373" s="1" t="s">
        <v>24</v>
      </c>
      <c r="N373" s="1">
        <v>1</v>
      </c>
      <c r="O373" s="1">
        <v>3592.29</v>
      </c>
      <c r="P373" cm="1">
        <f t="array" ref="P373">_xlfn.IFS(O373&gt;=3000,20%,O373&gt;=1000,15%,O373&gt;=500,10%,O373&gt;=200,5%,O373&lt;200,0%)</f>
        <v>0.2</v>
      </c>
      <c r="Q373">
        <f t="shared" si="10"/>
        <v>718.45800000000008</v>
      </c>
      <c r="R373" t="str">
        <f t="shared" si="11"/>
        <v>Missing Data</v>
      </c>
    </row>
    <row r="374" spans="1:18" x14ac:dyDescent="0.35">
      <c r="A374" s="1" t="s">
        <v>512</v>
      </c>
      <c r="B374" s="2">
        <v>45330</v>
      </c>
      <c r="C374" s="1" t="s">
        <v>98</v>
      </c>
      <c r="D374" s="1">
        <v>34</v>
      </c>
      <c r="E374" s="1" t="s">
        <v>20</v>
      </c>
      <c r="F374" s="1" t="s">
        <v>51</v>
      </c>
      <c r="G374" s="1" t="s">
        <v>47</v>
      </c>
      <c r="H374" s="1" t="s">
        <v>64</v>
      </c>
      <c r="I374" s="1">
        <v>818.65</v>
      </c>
      <c r="J374" s="1">
        <v>3</v>
      </c>
      <c r="K374" s="1">
        <v>20</v>
      </c>
      <c r="L374" s="1" t="s">
        <v>52</v>
      </c>
      <c r="M374" s="1">
        <v>1</v>
      </c>
      <c r="N374" s="1">
        <v>3</v>
      </c>
      <c r="O374" s="1">
        <v>1964.76</v>
      </c>
      <c r="P374" cm="1">
        <f t="array" ref="P374">_xlfn.IFS(O374&gt;=3000,20%,O374&gt;=1000,15%,O374&gt;=500,10%,O374&gt;=200,5%,O374&lt;200,0%)</f>
        <v>0.15</v>
      </c>
      <c r="Q374">
        <f t="shared" si="10"/>
        <v>294.714</v>
      </c>
      <c r="R374" t="str">
        <f t="shared" si="11"/>
        <v>High Risk</v>
      </c>
    </row>
    <row r="375" spans="1:18" x14ac:dyDescent="0.35">
      <c r="A375" s="1" t="s">
        <v>513</v>
      </c>
      <c r="B375" s="2">
        <v>45461</v>
      </c>
      <c r="C375" s="1" t="s">
        <v>111</v>
      </c>
      <c r="D375" s="1">
        <v>30</v>
      </c>
      <c r="E375" s="1" t="s">
        <v>20</v>
      </c>
      <c r="F375" s="1" t="s">
        <v>51</v>
      </c>
      <c r="G375" s="1" t="s">
        <v>41</v>
      </c>
      <c r="H375" s="1" t="s">
        <v>28</v>
      </c>
      <c r="I375" s="1">
        <v>997.59</v>
      </c>
      <c r="J375" s="1">
        <v>2</v>
      </c>
      <c r="K375" s="1">
        <v>20</v>
      </c>
      <c r="L375" s="1" t="s">
        <v>43</v>
      </c>
      <c r="M375" s="1">
        <v>2</v>
      </c>
      <c r="N375" s="1">
        <v>4</v>
      </c>
      <c r="O375" s="1">
        <v>1596.144</v>
      </c>
      <c r="P375" cm="1">
        <f t="array" ref="P375">_xlfn.IFS(O375&gt;=3000,20%,O375&gt;=1000,15%,O375&gt;=500,10%,O375&gt;=200,5%,O375&lt;200,0%)</f>
        <v>0.15</v>
      </c>
      <c r="Q375">
        <f t="shared" si="10"/>
        <v>239.42159999999998</v>
      </c>
      <c r="R375" t="str">
        <f t="shared" si="11"/>
        <v>Medium Risk</v>
      </c>
    </row>
    <row r="376" spans="1:18" x14ac:dyDescent="0.35">
      <c r="A376" s="1" t="s">
        <v>514</v>
      </c>
      <c r="B376" s="2">
        <v>45538</v>
      </c>
      <c r="C376" s="1" t="s">
        <v>85</v>
      </c>
      <c r="E376" s="1" t="s">
        <v>32</v>
      </c>
      <c r="G376" s="1" t="s">
        <v>38</v>
      </c>
      <c r="H376" s="1" t="s">
        <v>64</v>
      </c>
      <c r="I376" s="1">
        <v>367.65</v>
      </c>
      <c r="J376" s="1">
        <v>2</v>
      </c>
      <c r="K376" s="1">
        <v>0</v>
      </c>
      <c r="L376" s="1" t="s">
        <v>43</v>
      </c>
      <c r="N376" s="1">
        <v>8</v>
      </c>
      <c r="O376" s="1">
        <v>735.3</v>
      </c>
      <c r="P376" cm="1">
        <f t="array" ref="P376">_xlfn.IFS(O376&gt;=3000,20%,O376&gt;=1000,15%,O376&gt;=500,10%,O376&gt;=200,5%,O376&lt;200,0%)</f>
        <v>0.1</v>
      </c>
      <c r="Q376">
        <f t="shared" si="10"/>
        <v>73.53</v>
      </c>
      <c r="R376" t="str">
        <f t="shared" si="11"/>
        <v>Missing Data</v>
      </c>
    </row>
    <row r="377" spans="1:18" x14ac:dyDescent="0.35">
      <c r="A377" s="1" t="s">
        <v>515</v>
      </c>
      <c r="B377" s="2">
        <v>45317</v>
      </c>
      <c r="C377" s="1" t="s">
        <v>169</v>
      </c>
      <c r="D377" s="1">
        <v>42</v>
      </c>
      <c r="E377" s="1" t="s">
        <v>20</v>
      </c>
      <c r="F377" s="1" t="s">
        <v>21</v>
      </c>
      <c r="G377" s="1" t="s">
        <v>41</v>
      </c>
      <c r="H377" s="1" t="s">
        <v>96</v>
      </c>
      <c r="I377" s="1">
        <v>36.89</v>
      </c>
      <c r="J377" s="1">
        <v>1</v>
      </c>
      <c r="K377" s="1">
        <v>10</v>
      </c>
      <c r="L377" s="1" t="s">
        <v>24</v>
      </c>
      <c r="M377" s="1">
        <v>2</v>
      </c>
      <c r="N377" s="1">
        <v>9</v>
      </c>
      <c r="O377" s="1">
        <v>33.201000000000001</v>
      </c>
      <c r="P377" cm="1">
        <f t="array" ref="P377">_xlfn.IFS(O377&gt;=3000,20%,O377&gt;=1000,15%,O377&gt;=500,10%,O377&gt;=200,5%,O377&lt;200,0%)</f>
        <v>0</v>
      </c>
      <c r="Q377">
        <f t="shared" si="10"/>
        <v>0</v>
      </c>
      <c r="R377" t="str">
        <f t="shared" si="11"/>
        <v>Medium Risk</v>
      </c>
    </row>
    <row r="378" spans="1:18" x14ac:dyDescent="0.35">
      <c r="A378" s="1" t="s">
        <v>516</v>
      </c>
      <c r="B378" s="2">
        <v>45646</v>
      </c>
      <c r="C378" s="1" t="s">
        <v>348</v>
      </c>
      <c r="D378" s="1">
        <v>21</v>
      </c>
      <c r="E378" s="1" t="s">
        <v>32</v>
      </c>
      <c r="F378" s="1" t="s">
        <v>21</v>
      </c>
      <c r="G378" s="1" t="s">
        <v>34</v>
      </c>
      <c r="H378" s="1" t="s">
        <v>79</v>
      </c>
      <c r="I378" s="1">
        <v>890.69</v>
      </c>
      <c r="J378" s="1">
        <v>2</v>
      </c>
      <c r="K378" s="1">
        <v>20</v>
      </c>
      <c r="L378" s="1" t="s">
        <v>52</v>
      </c>
      <c r="M378" s="1">
        <v>5</v>
      </c>
      <c r="N378" s="1">
        <v>3</v>
      </c>
      <c r="O378" s="1">
        <v>1425.104</v>
      </c>
      <c r="P378" cm="1">
        <f t="array" ref="P378">_xlfn.IFS(O378&gt;=3000,20%,O378&gt;=1000,15%,O378&gt;=500,10%,O378&gt;=200,5%,O378&lt;200,0%)</f>
        <v>0.15</v>
      </c>
      <c r="Q378">
        <f t="shared" si="10"/>
        <v>213.76560000000001</v>
      </c>
      <c r="R378" t="str">
        <f t="shared" si="11"/>
        <v>Medium Risk</v>
      </c>
    </row>
    <row r="379" spans="1:18" x14ac:dyDescent="0.35">
      <c r="A379" s="1" t="s">
        <v>517</v>
      </c>
      <c r="B379" s="2">
        <v>45597</v>
      </c>
      <c r="C379" s="1" t="s">
        <v>61</v>
      </c>
      <c r="E379" s="1" t="s">
        <v>32</v>
      </c>
      <c r="G379" s="1" t="s">
        <v>22</v>
      </c>
      <c r="H379" s="1" t="s">
        <v>23</v>
      </c>
      <c r="I379" s="1">
        <v>1004.29</v>
      </c>
      <c r="J379" s="1">
        <v>1</v>
      </c>
      <c r="K379" s="1">
        <v>10</v>
      </c>
      <c r="L379" s="1" t="s">
        <v>52</v>
      </c>
      <c r="N379" s="1">
        <v>6</v>
      </c>
      <c r="O379" s="1">
        <v>903.86099999999999</v>
      </c>
      <c r="P379" cm="1">
        <f t="array" ref="P379">_xlfn.IFS(O379&gt;=3000,20%,O379&gt;=1000,15%,O379&gt;=500,10%,O379&gt;=200,5%,O379&lt;200,0%)</f>
        <v>0.1</v>
      </c>
      <c r="Q379">
        <f t="shared" si="10"/>
        <v>90.386099999999999</v>
      </c>
      <c r="R379" t="str">
        <f t="shared" si="11"/>
        <v>Missing Data</v>
      </c>
    </row>
    <row r="380" spans="1:18" x14ac:dyDescent="0.35">
      <c r="A380" s="1" t="s">
        <v>518</v>
      </c>
      <c r="B380" s="2">
        <v>45304</v>
      </c>
      <c r="C380" s="1" t="s">
        <v>186</v>
      </c>
      <c r="D380" s="1">
        <v>20</v>
      </c>
      <c r="E380" s="1" t="s">
        <v>20</v>
      </c>
      <c r="F380" s="1" t="s">
        <v>27</v>
      </c>
      <c r="G380" s="1" t="s">
        <v>47</v>
      </c>
      <c r="H380" s="1" t="s">
        <v>55</v>
      </c>
      <c r="I380" s="1">
        <v>893.76</v>
      </c>
      <c r="J380" s="1">
        <v>4</v>
      </c>
      <c r="K380" s="1">
        <v>0</v>
      </c>
      <c r="L380" s="1" t="s">
        <v>52</v>
      </c>
      <c r="N380" s="1">
        <v>5</v>
      </c>
      <c r="O380" s="1">
        <v>3575.04</v>
      </c>
      <c r="P380" cm="1">
        <f t="array" ref="P380">_xlfn.IFS(O380&gt;=3000,20%,O380&gt;=1000,15%,O380&gt;=500,10%,O380&gt;=200,5%,O380&lt;200,0%)</f>
        <v>0.2</v>
      </c>
      <c r="Q380">
        <f t="shared" si="10"/>
        <v>715.00800000000004</v>
      </c>
      <c r="R380" t="str">
        <f t="shared" si="11"/>
        <v>Missing Data</v>
      </c>
    </row>
    <row r="381" spans="1:18" x14ac:dyDescent="0.35">
      <c r="A381" s="1" t="s">
        <v>519</v>
      </c>
      <c r="B381" s="2">
        <v>45607</v>
      </c>
      <c r="C381" s="1" t="s">
        <v>266</v>
      </c>
      <c r="D381" s="1">
        <v>58</v>
      </c>
      <c r="E381" s="1" t="s">
        <v>32</v>
      </c>
      <c r="F381" s="1" t="s">
        <v>21</v>
      </c>
      <c r="G381" s="1" t="s">
        <v>41</v>
      </c>
      <c r="H381" s="1" t="s">
        <v>55</v>
      </c>
      <c r="I381" s="1">
        <v>188.56</v>
      </c>
      <c r="J381" s="1">
        <v>1</v>
      </c>
      <c r="K381" s="1">
        <v>20</v>
      </c>
      <c r="L381" s="1" t="s">
        <v>29</v>
      </c>
      <c r="N381" s="1">
        <v>6</v>
      </c>
      <c r="O381" s="1">
        <v>150.84800000000001</v>
      </c>
      <c r="P381" cm="1">
        <f t="array" ref="P381">_xlfn.IFS(O381&gt;=3000,20%,O381&gt;=1000,15%,O381&gt;=500,10%,O381&gt;=200,5%,O381&lt;200,0%)</f>
        <v>0</v>
      </c>
      <c r="Q381">
        <f t="shared" si="10"/>
        <v>0</v>
      </c>
      <c r="R381" t="str">
        <f t="shared" si="11"/>
        <v>Missing Data</v>
      </c>
    </row>
    <row r="382" spans="1:18" x14ac:dyDescent="0.35">
      <c r="A382" s="1" t="s">
        <v>520</v>
      </c>
      <c r="B382" s="2">
        <v>45604</v>
      </c>
      <c r="C382" s="1" t="s">
        <v>93</v>
      </c>
      <c r="D382" s="1">
        <v>35</v>
      </c>
      <c r="E382" s="1" t="s">
        <v>20</v>
      </c>
      <c r="F382" s="1" t="s">
        <v>27</v>
      </c>
      <c r="G382" s="1" t="s">
        <v>38</v>
      </c>
      <c r="H382" s="1" t="s">
        <v>23</v>
      </c>
      <c r="I382" s="1">
        <v>909.04</v>
      </c>
      <c r="J382" s="1">
        <v>4</v>
      </c>
      <c r="K382" s="1">
        <v>5</v>
      </c>
      <c r="L382" s="1" t="s">
        <v>52</v>
      </c>
      <c r="M382" s="1">
        <v>3</v>
      </c>
      <c r="N382" s="1">
        <v>4</v>
      </c>
      <c r="O382" s="1">
        <v>3454.3519999999999</v>
      </c>
      <c r="P382" cm="1">
        <f t="array" ref="P382">_xlfn.IFS(O382&gt;=3000,20%,O382&gt;=1000,15%,O382&gt;=500,10%,O382&gt;=200,5%,O382&lt;200,0%)</f>
        <v>0.2</v>
      </c>
      <c r="Q382">
        <f t="shared" si="10"/>
        <v>690.87040000000002</v>
      </c>
      <c r="R382" t="str">
        <f t="shared" si="11"/>
        <v>Medium Risk</v>
      </c>
    </row>
    <row r="383" spans="1:18" x14ac:dyDescent="0.35">
      <c r="A383" s="1" t="s">
        <v>521</v>
      </c>
      <c r="B383" s="2">
        <v>45327</v>
      </c>
      <c r="C383" s="1" t="s">
        <v>122</v>
      </c>
      <c r="D383" s="1">
        <v>53</v>
      </c>
      <c r="E383" s="1" t="s">
        <v>20</v>
      </c>
      <c r="F383" s="1" t="s">
        <v>27</v>
      </c>
      <c r="G383" s="1" t="s">
        <v>41</v>
      </c>
      <c r="H383" s="1" t="s">
        <v>28</v>
      </c>
      <c r="I383" s="1">
        <v>927.33</v>
      </c>
      <c r="J383" s="1">
        <v>1</v>
      </c>
      <c r="K383" s="1">
        <v>0</v>
      </c>
      <c r="L383" s="1" t="s">
        <v>43</v>
      </c>
      <c r="M383" s="1">
        <v>5</v>
      </c>
      <c r="N383" s="1">
        <v>6</v>
      </c>
      <c r="O383" s="1">
        <v>927.33</v>
      </c>
      <c r="P383" cm="1">
        <f t="array" ref="P383">_xlfn.IFS(O383&gt;=3000,20%,O383&gt;=1000,15%,O383&gt;=500,10%,O383&gt;=200,5%,O383&lt;200,0%)</f>
        <v>0.1</v>
      </c>
      <c r="Q383">
        <f t="shared" si="10"/>
        <v>92.733000000000004</v>
      </c>
      <c r="R383" t="str">
        <f t="shared" si="11"/>
        <v>Low Risk</v>
      </c>
    </row>
    <row r="384" spans="1:18" x14ac:dyDescent="0.35">
      <c r="A384" s="1" t="s">
        <v>522</v>
      </c>
      <c r="B384" s="2">
        <v>45464</v>
      </c>
      <c r="C384" s="1" t="s">
        <v>140</v>
      </c>
      <c r="D384" s="1">
        <v>39</v>
      </c>
      <c r="E384" s="1" t="s">
        <v>32</v>
      </c>
      <c r="F384" s="1" t="s">
        <v>27</v>
      </c>
      <c r="G384" s="1" t="s">
        <v>38</v>
      </c>
      <c r="H384" s="1" t="s">
        <v>96</v>
      </c>
      <c r="I384" s="1">
        <v>797.08</v>
      </c>
      <c r="J384" s="1">
        <v>3</v>
      </c>
      <c r="K384" s="1">
        <v>15</v>
      </c>
      <c r="L384" s="1" t="s">
        <v>43</v>
      </c>
      <c r="N384" s="1">
        <v>7</v>
      </c>
      <c r="O384" s="1">
        <v>2032.5540000000001</v>
      </c>
      <c r="P384" cm="1">
        <f t="array" ref="P384">_xlfn.IFS(O384&gt;=3000,20%,O384&gt;=1000,15%,O384&gt;=500,10%,O384&gt;=200,5%,O384&lt;200,0%)</f>
        <v>0.15</v>
      </c>
      <c r="Q384">
        <f t="shared" si="10"/>
        <v>304.88310000000001</v>
      </c>
      <c r="R384" t="str">
        <f t="shared" si="11"/>
        <v>Missing Data</v>
      </c>
    </row>
    <row r="385" spans="1:18" x14ac:dyDescent="0.35">
      <c r="A385" s="1" t="s">
        <v>523</v>
      </c>
      <c r="B385" s="2">
        <v>45311</v>
      </c>
      <c r="C385" s="1" t="s">
        <v>89</v>
      </c>
      <c r="D385" s="1">
        <v>51</v>
      </c>
      <c r="E385" s="1" t="s">
        <v>32</v>
      </c>
      <c r="F385" s="1" t="s">
        <v>46</v>
      </c>
      <c r="G385" s="1" t="s">
        <v>41</v>
      </c>
      <c r="H385" s="1" t="s">
        <v>96</v>
      </c>
      <c r="I385" s="1">
        <v>924.02</v>
      </c>
      <c r="J385" s="1">
        <v>2</v>
      </c>
      <c r="K385" s="1">
        <v>10</v>
      </c>
      <c r="L385" s="1" t="s">
        <v>29</v>
      </c>
      <c r="M385" s="1">
        <v>1</v>
      </c>
      <c r="N385" s="1">
        <v>9</v>
      </c>
      <c r="O385" s="1">
        <v>1663.2360000000001</v>
      </c>
      <c r="P385" cm="1">
        <f t="array" ref="P385">_xlfn.IFS(O385&gt;=3000,20%,O385&gt;=1000,15%,O385&gt;=500,10%,O385&gt;=200,5%,O385&lt;200,0%)</f>
        <v>0.15</v>
      </c>
      <c r="Q385">
        <f t="shared" si="10"/>
        <v>249.4854</v>
      </c>
      <c r="R385" t="str">
        <f t="shared" si="11"/>
        <v>High Risk</v>
      </c>
    </row>
    <row r="386" spans="1:18" x14ac:dyDescent="0.35">
      <c r="A386" s="1" t="s">
        <v>524</v>
      </c>
      <c r="B386" s="2">
        <v>45612</v>
      </c>
      <c r="C386" s="1" t="s">
        <v>169</v>
      </c>
      <c r="D386" s="1">
        <v>25</v>
      </c>
      <c r="E386" s="1" t="s">
        <v>32</v>
      </c>
      <c r="F386" s="1" t="s">
        <v>27</v>
      </c>
      <c r="G386" s="1" t="s">
        <v>38</v>
      </c>
      <c r="H386" s="1" t="s">
        <v>42</v>
      </c>
      <c r="I386" s="1">
        <v>1018.19</v>
      </c>
      <c r="J386" s="1">
        <v>4</v>
      </c>
      <c r="K386" s="1">
        <v>0</v>
      </c>
      <c r="L386" s="1" t="s">
        <v>29</v>
      </c>
      <c r="M386" s="1">
        <v>1</v>
      </c>
      <c r="N386" s="1">
        <v>7</v>
      </c>
      <c r="O386" s="1">
        <v>4072.76</v>
      </c>
      <c r="P386" cm="1">
        <f t="array" ref="P386">_xlfn.IFS(O386&gt;=3000,20%,O386&gt;=1000,15%,O386&gt;=500,10%,O386&gt;=200,5%,O386&lt;200,0%)</f>
        <v>0.2</v>
      </c>
      <c r="Q386">
        <f t="shared" si="10"/>
        <v>814.55200000000013</v>
      </c>
      <c r="R386" t="str">
        <f t="shared" si="11"/>
        <v>High Risk</v>
      </c>
    </row>
    <row r="387" spans="1:18" x14ac:dyDescent="0.35">
      <c r="A387" s="1" t="s">
        <v>525</v>
      </c>
      <c r="B387" s="2">
        <v>45555</v>
      </c>
      <c r="C387" s="1" t="s">
        <v>26</v>
      </c>
      <c r="D387" s="1">
        <v>57</v>
      </c>
      <c r="E387" s="1" t="s">
        <v>32</v>
      </c>
      <c r="F387" s="1" t="s">
        <v>46</v>
      </c>
      <c r="G387" s="1" t="s">
        <v>34</v>
      </c>
      <c r="H387" s="1" t="s">
        <v>79</v>
      </c>
      <c r="I387" s="1">
        <v>744.05</v>
      </c>
      <c r="J387" s="1">
        <v>1</v>
      </c>
      <c r="K387" s="1">
        <v>0</v>
      </c>
      <c r="L387" s="1" t="s">
        <v>52</v>
      </c>
      <c r="N387" s="1">
        <v>6</v>
      </c>
      <c r="O387" s="1">
        <v>744.05</v>
      </c>
      <c r="P387" cm="1">
        <f t="array" ref="P387">_xlfn.IFS(O387&gt;=3000,20%,O387&gt;=1000,15%,O387&gt;=500,10%,O387&gt;=200,5%,O387&lt;200,0%)</f>
        <v>0.1</v>
      </c>
      <c r="Q387">
        <f t="shared" ref="Q387:Q450" si="12">(P387*O387)</f>
        <v>74.405000000000001</v>
      </c>
      <c r="R387" t="str">
        <f t="shared" ref="R387:R450" si="13">IF(ISBLANK(K387),"Missing Data",IF(ISBLANK(M387),"Missing Data",IF(AND(K387&lt;=10,M387&gt;=4),"Low Risk",IF(OR(K387&gt;20,M387&lt;2),"High Risk","Medium Risk"))))</f>
        <v>Missing Data</v>
      </c>
    </row>
    <row r="388" spans="1:18" x14ac:dyDescent="0.35">
      <c r="A388" s="1" t="s">
        <v>526</v>
      </c>
      <c r="B388" s="2">
        <v>45433</v>
      </c>
      <c r="C388" s="1" t="s">
        <v>83</v>
      </c>
      <c r="D388" s="1">
        <v>36</v>
      </c>
      <c r="E388" s="1" t="s">
        <v>20</v>
      </c>
      <c r="F388" s="1" t="s">
        <v>51</v>
      </c>
      <c r="G388" s="1" t="s">
        <v>38</v>
      </c>
      <c r="H388" s="1" t="s">
        <v>35</v>
      </c>
      <c r="I388" s="1">
        <v>124.55</v>
      </c>
      <c r="J388" s="1">
        <v>2</v>
      </c>
      <c r="K388" s="1">
        <v>20</v>
      </c>
      <c r="L388" s="1" t="s">
        <v>24</v>
      </c>
      <c r="M388" s="1">
        <v>2</v>
      </c>
      <c r="N388" s="1">
        <v>1</v>
      </c>
      <c r="O388" s="1">
        <v>199.28</v>
      </c>
      <c r="P388" cm="1">
        <f t="array" ref="P388">_xlfn.IFS(O388&gt;=3000,20%,O388&gt;=1000,15%,O388&gt;=500,10%,O388&gt;=200,5%,O388&lt;200,0%)</f>
        <v>0</v>
      </c>
      <c r="Q388">
        <f t="shared" si="12"/>
        <v>0</v>
      </c>
      <c r="R388" t="str">
        <f t="shared" si="13"/>
        <v>Medium Risk</v>
      </c>
    </row>
    <row r="389" spans="1:18" x14ac:dyDescent="0.35">
      <c r="A389" s="1" t="s">
        <v>527</v>
      </c>
      <c r="B389" s="2">
        <v>45434</v>
      </c>
      <c r="C389" s="1" t="s">
        <v>78</v>
      </c>
      <c r="D389" s="1">
        <v>59</v>
      </c>
      <c r="E389" s="1" t="s">
        <v>20</v>
      </c>
      <c r="F389" s="1" t="s">
        <v>21</v>
      </c>
      <c r="G389" s="1" t="s">
        <v>38</v>
      </c>
      <c r="H389" s="1" t="s">
        <v>125</v>
      </c>
      <c r="I389" s="1">
        <v>595.4</v>
      </c>
      <c r="J389" s="1">
        <v>1</v>
      </c>
      <c r="K389" s="1">
        <v>20</v>
      </c>
      <c r="L389" s="1" t="s">
        <v>29</v>
      </c>
      <c r="M389" s="1">
        <v>5</v>
      </c>
      <c r="N389" s="1">
        <v>2</v>
      </c>
      <c r="O389" s="1">
        <v>476.32</v>
      </c>
      <c r="P389" cm="1">
        <f t="array" ref="P389">_xlfn.IFS(O389&gt;=3000,20%,O389&gt;=1000,15%,O389&gt;=500,10%,O389&gt;=200,5%,O389&lt;200,0%)</f>
        <v>0.05</v>
      </c>
      <c r="Q389">
        <f t="shared" si="12"/>
        <v>23.816000000000003</v>
      </c>
      <c r="R389" t="str">
        <f t="shared" si="13"/>
        <v>Medium Risk</v>
      </c>
    </row>
    <row r="390" spans="1:18" x14ac:dyDescent="0.35">
      <c r="A390" s="1" t="s">
        <v>528</v>
      </c>
      <c r="B390" s="2">
        <v>45383</v>
      </c>
      <c r="C390" s="1" t="s">
        <v>70</v>
      </c>
      <c r="E390" s="1" t="s">
        <v>32</v>
      </c>
      <c r="G390" s="1" t="s">
        <v>22</v>
      </c>
      <c r="H390" s="1" t="s">
        <v>28</v>
      </c>
      <c r="I390" s="1">
        <v>111.63</v>
      </c>
      <c r="J390" s="1">
        <v>2</v>
      </c>
      <c r="K390" s="1">
        <v>20</v>
      </c>
      <c r="L390" s="1" t="s">
        <v>29</v>
      </c>
      <c r="N390" s="1">
        <v>1</v>
      </c>
      <c r="O390" s="1">
        <v>178.608</v>
      </c>
      <c r="P390" cm="1">
        <f t="array" ref="P390">_xlfn.IFS(O390&gt;=3000,20%,O390&gt;=1000,15%,O390&gt;=500,10%,O390&gt;=200,5%,O390&lt;200,0%)</f>
        <v>0</v>
      </c>
      <c r="Q390">
        <f t="shared" si="12"/>
        <v>0</v>
      </c>
      <c r="R390" t="str">
        <f t="shared" si="13"/>
        <v>Missing Data</v>
      </c>
    </row>
    <row r="391" spans="1:18" x14ac:dyDescent="0.35">
      <c r="A391" s="1" t="s">
        <v>529</v>
      </c>
      <c r="B391" s="2">
        <v>45645</v>
      </c>
      <c r="C391" s="1" t="s">
        <v>116</v>
      </c>
      <c r="D391" s="1">
        <v>54</v>
      </c>
      <c r="E391" s="1" t="s">
        <v>20</v>
      </c>
      <c r="F391" s="1" t="s">
        <v>21</v>
      </c>
      <c r="G391" s="1" t="s">
        <v>38</v>
      </c>
      <c r="H391" s="1" t="s">
        <v>125</v>
      </c>
      <c r="I391" s="1">
        <v>500.9</v>
      </c>
      <c r="J391" s="1">
        <v>2</v>
      </c>
      <c r="K391" s="1">
        <v>15</v>
      </c>
      <c r="L391" s="1" t="s">
        <v>52</v>
      </c>
      <c r="N391" s="1">
        <v>9</v>
      </c>
      <c r="O391" s="1">
        <v>851.53</v>
      </c>
      <c r="P391" cm="1">
        <f t="array" ref="P391">_xlfn.IFS(O391&gt;=3000,20%,O391&gt;=1000,15%,O391&gt;=500,10%,O391&gt;=200,5%,O391&lt;200,0%)</f>
        <v>0.1</v>
      </c>
      <c r="Q391">
        <f t="shared" si="12"/>
        <v>85.153000000000006</v>
      </c>
      <c r="R391" t="str">
        <f t="shared" si="13"/>
        <v>Missing Data</v>
      </c>
    </row>
    <row r="392" spans="1:18" x14ac:dyDescent="0.35">
      <c r="A392" s="1" t="s">
        <v>530</v>
      </c>
      <c r="B392" s="2">
        <v>45613</v>
      </c>
      <c r="C392" s="1" t="s">
        <v>158</v>
      </c>
      <c r="D392" s="1">
        <v>23</v>
      </c>
      <c r="E392" s="1" t="s">
        <v>20</v>
      </c>
      <c r="F392" s="1" t="s">
        <v>21</v>
      </c>
      <c r="G392" s="1" t="s">
        <v>22</v>
      </c>
      <c r="H392" s="1" t="s">
        <v>125</v>
      </c>
      <c r="I392" s="1">
        <v>500.39</v>
      </c>
      <c r="J392" s="1">
        <v>1</v>
      </c>
      <c r="K392" s="1">
        <v>20</v>
      </c>
      <c r="L392" s="1" t="s">
        <v>52</v>
      </c>
      <c r="M392" s="1">
        <v>1</v>
      </c>
      <c r="N392" s="1">
        <v>9</v>
      </c>
      <c r="O392" s="1">
        <v>400.31200000000001</v>
      </c>
      <c r="P392" cm="1">
        <f t="array" ref="P392">_xlfn.IFS(O392&gt;=3000,20%,O392&gt;=1000,15%,O392&gt;=500,10%,O392&gt;=200,5%,O392&lt;200,0%)</f>
        <v>0.05</v>
      </c>
      <c r="Q392">
        <f t="shared" si="12"/>
        <v>20.015600000000003</v>
      </c>
      <c r="R392" t="str">
        <f t="shared" si="13"/>
        <v>High Risk</v>
      </c>
    </row>
    <row r="393" spans="1:18" x14ac:dyDescent="0.35">
      <c r="A393" s="1" t="s">
        <v>531</v>
      </c>
      <c r="B393" s="2">
        <v>45579</v>
      </c>
      <c r="C393" s="1" t="s">
        <v>124</v>
      </c>
      <c r="D393" s="1">
        <v>43</v>
      </c>
      <c r="E393" s="1" t="s">
        <v>20</v>
      </c>
      <c r="F393" s="1" t="s">
        <v>21</v>
      </c>
      <c r="G393" s="1" t="s">
        <v>47</v>
      </c>
      <c r="H393" s="1" t="s">
        <v>23</v>
      </c>
      <c r="I393" s="1">
        <v>97.89</v>
      </c>
      <c r="J393" s="1">
        <v>4</v>
      </c>
      <c r="K393" s="1">
        <v>0</v>
      </c>
      <c r="L393" s="1" t="s">
        <v>29</v>
      </c>
      <c r="N393" s="1">
        <v>7</v>
      </c>
      <c r="O393" s="1">
        <v>391.56</v>
      </c>
      <c r="P393" cm="1">
        <f t="array" ref="P393">_xlfn.IFS(O393&gt;=3000,20%,O393&gt;=1000,15%,O393&gt;=500,10%,O393&gt;=200,5%,O393&lt;200,0%)</f>
        <v>0.05</v>
      </c>
      <c r="Q393">
        <f t="shared" si="12"/>
        <v>19.578000000000003</v>
      </c>
      <c r="R393" t="str">
        <f t="shared" si="13"/>
        <v>Missing Data</v>
      </c>
    </row>
    <row r="394" spans="1:18" x14ac:dyDescent="0.35">
      <c r="A394" s="1" t="s">
        <v>532</v>
      </c>
      <c r="B394" s="2">
        <v>45506</v>
      </c>
      <c r="C394" s="1" t="s">
        <v>287</v>
      </c>
      <c r="D394" s="1">
        <v>51</v>
      </c>
      <c r="E394" s="1" t="s">
        <v>20</v>
      </c>
      <c r="F394" s="1" t="s">
        <v>21</v>
      </c>
      <c r="G394" s="1" t="s">
        <v>22</v>
      </c>
      <c r="H394" s="1" t="s">
        <v>55</v>
      </c>
      <c r="I394" s="1">
        <v>431.61</v>
      </c>
      <c r="J394" s="1">
        <v>4</v>
      </c>
      <c r="K394" s="1">
        <v>20</v>
      </c>
      <c r="L394" s="1" t="s">
        <v>24</v>
      </c>
      <c r="M394" s="1">
        <v>5</v>
      </c>
      <c r="N394" s="1">
        <v>2</v>
      </c>
      <c r="O394" s="1">
        <v>1381.152</v>
      </c>
      <c r="P394" cm="1">
        <f t="array" ref="P394">_xlfn.IFS(O394&gt;=3000,20%,O394&gt;=1000,15%,O394&gt;=500,10%,O394&gt;=200,5%,O394&lt;200,0%)</f>
        <v>0.15</v>
      </c>
      <c r="Q394">
        <f t="shared" si="12"/>
        <v>207.1728</v>
      </c>
      <c r="R394" t="str">
        <f t="shared" si="13"/>
        <v>Medium Risk</v>
      </c>
    </row>
    <row r="395" spans="1:18" x14ac:dyDescent="0.35">
      <c r="A395" s="1" t="s">
        <v>533</v>
      </c>
      <c r="B395" s="2">
        <v>45633</v>
      </c>
      <c r="C395" s="1" t="s">
        <v>354</v>
      </c>
      <c r="D395" s="1">
        <v>23</v>
      </c>
      <c r="E395" s="1" t="s">
        <v>32</v>
      </c>
      <c r="F395" s="1" t="s">
        <v>21</v>
      </c>
      <c r="G395" s="1" t="s">
        <v>34</v>
      </c>
      <c r="H395" s="1" t="s">
        <v>55</v>
      </c>
      <c r="I395" s="1">
        <v>150.97999999999999</v>
      </c>
      <c r="J395" s="1">
        <v>3</v>
      </c>
      <c r="K395" s="1">
        <v>5</v>
      </c>
      <c r="L395" s="1" t="s">
        <v>29</v>
      </c>
      <c r="N395" s="1">
        <v>6</v>
      </c>
      <c r="O395" s="1">
        <v>430.29300000000001</v>
      </c>
      <c r="P395" cm="1">
        <f t="array" ref="P395">_xlfn.IFS(O395&gt;=3000,20%,O395&gt;=1000,15%,O395&gt;=500,10%,O395&gt;=200,5%,O395&lt;200,0%)</f>
        <v>0.05</v>
      </c>
      <c r="Q395">
        <f t="shared" si="12"/>
        <v>21.514650000000003</v>
      </c>
      <c r="R395" t="str">
        <f t="shared" si="13"/>
        <v>Missing Data</v>
      </c>
    </row>
    <row r="396" spans="1:18" x14ac:dyDescent="0.35">
      <c r="A396" s="1" t="s">
        <v>534</v>
      </c>
      <c r="B396" s="2">
        <v>45342</v>
      </c>
      <c r="C396" s="1" t="s">
        <v>201</v>
      </c>
      <c r="E396" s="1" t="s">
        <v>32</v>
      </c>
      <c r="G396" s="1" t="s">
        <v>22</v>
      </c>
      <c r="H396" s="1" t="s">
        <v>35</v>
      </c>
      <c r="I396" s="1">
        <v>973.72</v>
      </c>
      <c r="J396" s="1">
        <v>2</v>
      </c>
      <c r="K396" s="1">
        <v>20</v>
      </c>
      <c r="L396" s="1" t="s">
        <v>52</v>
      </c>
      <c r="N396" s="1">
        <v>4</v>
      </c>
      <c r="O396" s="1">
        <v>1557.952</v>
      </c>
      <c r="P396" cm="1">
        <f t="array" ref="P396">_xlfn.IFS(O396&gt;=3000,20%,O396&gt;=1000,15%,O396&gt;=500,10%,O396&gt;=200,5%,O396&lt;200,0%)</f>
        <v>0.15</v>
      </c>
      <c r="Q396">
        <f t="shared" si="12"/>
        <v>233.69279999999998</v>
      </c>
      <c r="R396" t="str">
        <f t="shared" si="13"/>
        <v>Missing Data</v>
      </c>
    </row>
    <row r="397" spans="1:18" x14ac:dyDescent="0.35">
      <c r="A397" s="1" t="s">
        <v>535</v>
      </c>
      <c r="B397" s="2">
        <v>45444</v>
      </c>
      <c r="C397" s="1" t="s">
        <v>442</v>
      </c>
      <c r="D397" s="1">
        <v>50</v>
      </c>
      <c r="E397" s="1" t="s">
        <v>20</v>
      </c>
      <c r="F397" s="1" t="s">
        <v>27</v>
      </c>
      <c r="G397" s="1" t="s">
        <v>47</v>
      </c>
      <c r="H397" s="1" t="s">
        <v>23</v>
      </c>
      <c r="I397" s="1">
        <v>1138.27</v>
      </c>
      <c r="J397" s="1">
        <v>3</v>
      </c>
      <c r="K397" s="1">
        <v>15</v>
      </c>
      <c r="L397" s="1" t="s">
        <v>52</v>
      </c>
      <c r="N397" s="1">
        <v>1</v>
      </c>
      <c r="O397" s="1">
        <v>2902.5884999999998</v>
      </c>
      <c r="P397" cm="1">
        <f t="array" ref="P397">_xlfn.IFS(O397&gt;=3000,20%,O397&gt;=1000,15%,O397&gt;=500,10%,O397&gt;=200,5%,O397&lt;200,0%)</f>
        <v>0.15</v>
      </c>
      <c r="Q397">
        <f t="shared" si="12"/>
        <v>435.38827499999996</v>
      </c>
      <c r="R397" t="str">
        <f t="shared" si="13"/>
        <v>Missing Data</v>
      </c>
    </row>
    <row r="398" spans="1:18" x14ac:dyDescent="0.35">
      <c r="A398" s="1" t="s">
        <v>536</v>
      </c>
      <c r="B398" s="2">
        <v>45477</v>
      </c>
      <c r="C398" s="1" t="s">
        <v>40</v>
      </c>
      <c r="D398" s="1">
        <v>39</v>
      </c>
      <c r="E398" s="1" t="s">
        <v>32</v>
      </c>
      <c r="F398" s="1" t="s">
        <v>33</v>
      </c>
      <c r="G398" s="1" t="s">
        <v>34</v>
      </c>
      <c r="H398" s="1" t="s">
        <v>125</v>
      </c>
      <c r="I398" s="1">
        <v>105.33</v>
      </c>
      <c r="J398" s="1">
        <v>3</v>
      </c>
      <c r="K398" s="1">
        <v>5</v>
      </c>
      <c r="L398" s="1" t="s">
        <v>29</v>
      </c>
      <c r="N398" s="1">
        <v>1</v>
      </c>
      <c r="O398" s="1">
        <v>300.19049999999999</v>
      </c>
      <c r="P398" cm="1">
        <f t="array" ref="P398">_xlfn.IFS(O398&gt;=3000,20%,O398&gt;=1000,15%,O398&gt;=500,10%,O398&gt;=200,5%,O398&lt;200,0%)</f>
        <v>0.05</v>
      </c>
      <c r="Q398">
        <f t="shared" si="12"/>
        <v>15.009525</v>
      </c>
      <c r="R398" t="str">
        <f t="shared" si="13"/>
        <v>Missing Data</v>
      </c>
    </row>
    <row r="399" spans="1:18" x14ac:dyDescent="0.35">
      <c r="A399" s="1" t="s">
        <v>537</v>
      </c>
      <c r="B399" s="2">
        <v>45354</v>
      </c>
      <c r="C399" s="1" t="s">
        <v>113</v>
      </c>
      <c r="D399" s="1">
        <v>38</v>
      </c>
      <c r="E399" s="1" t="s">
        <v>32</v>
      </c>
      <c r="F399" s="1" t="s">
        <v>46</v>
      </c>
      <c r="G399" s="1" t="s">
        <v>41</v>
      </c>
      <c r="H399" s="1" t="s">
        <v>48</v>
      </c>
      <c r="I399" s="1">
        <v>1147.04</v>
      </c>
      <c r="J399" s="1">
        <v>1</v>
      </c>
      <c r="K399" s="1">
        <v>0</v>
      </c>
      <c r="L399" s="1" t="s">
        <v>24</v>
      </c>
      <c r="M399" s="1">
        <v>5</v>
      </c>
      <c r="N399" s="1">
        <v>5</v>
      </c>
      <c r="O399" s="1">
        <v>1147.04</v>
      </c>
      <c r="P399" cm="1">
        <f t="array" ref="P399">_xlfn.IFS(O399&gt;=3000,20%,O399&gt;=1000,15%,O399&gt;=500,10%,O399&gt;=200,5%,O399&lt;200,0%)</f>
        <v>0.15</v>
      </c>
      <c r="Q399">
        <f t="shared" si="12"/>
        <v>172.05599999999998</v>
      </c>
      <c r="R399" t="str">
        <f t="shared" si="13"/>
        <v>Low Risk</v>
      </c>
    </row>
    <row r="400" spans="1:18" x14ac:dyDescent="0.35">
      <c r="A400" s="1" t="s">
        <v>538</v>
      </c>
      <c r="B400" s="2">
        <v>45481</v>
      </c>
      <c r="C400" s="1" t="s">
        <v>310</v>
      </c>
      <c r="D400" s="1">
        <v>23</v>
      </c>
      <c r="E400" s="1" t="s">
        <v>32</v>
      </c>
      <c r="F400" s="1" t="s">
        <v>33</v>
      </c>
      <c r="G400" s="1" t="s">
        <v>41</v>
      </c>
      <c r="H400" s="1" t="s">
        <v>55</v>
      </c>
      <c r="I400" s="1">
        <v>636.64</v>
      </c>
      <c r="J400" s="1">
        <v>1</v>
      </c>
      <c r="K400" s="1">
        <v>0</v>
      </c>
      <c r="L400" s="1" t="s">
        <v>29</v>
      </c>
      <c r="N400" s="1">
        <v>2</v>
      </c>
      <c r="O400" s="1">
        <v>636.64</v>
      </c>
      <c r="P400" cm="1">
        <f t="array" ref="P400">_xlfn.IFS(O400&gt;=3000,20%,O400&gt;=1000,15%,O400&gt;=500,10%,O400&gt;=200,5%,O400&lt;200,0%)</f>
        <v>0.1</v>
      </c>
      <c r="Q400">
        <f t="shared" si="12"/>
        <v>63.664000000000001</v>
      </c>
      <c r="R400" t="str">
        <f t="shared" si="13"/>
        <v>Missing Data</v>
      </c>
    </row>
    <row r="401" spans="1:18" x14ac:dyDescent="0.35">
      <c r="A401" s="1" t="s">
        <v>539</v>
      </c>
      <c r="B401" s="2">
        <v>45416</v>
      </c>
      <c r="C401" s="1" t="s">
        <v>102</v>
      </c>
      <c r="D401" s="1">
        <v>23</v>
      </c>
      <c r="E401" s="1" t="s">
        <v>20</v>
      </c>
      <c r="F401" s="1" t="s">
        <v>33</v>
      </c>
      <c r="G401" s="1" t="s">
        <v>22</v>
      </c>
      <c r="H401" s="1" t="s">
        <v>28</v>
      </c>
      <c r="I401" s="1">
        <v>373.49</v>
      </c>
      <c r="J401" s="1">
        <v>1</v>
      </c>
      <c r="K401" s="1">
        <v>10</v>
      </c>
      <c r="L401" s="1" t="s">
        <v>29</v>
      </c>
      <c r="M401" s="1">
        <v>5</v>
      </c>
      <c r="N401" s="1">
        <v>4</v>
      </c>
      <c r="O401" s="1">
        <v>336.14100000000002</v>
      </c>
      <c r="P401" cm="1">
        <f t="array" ref="P401">_xlfn.IFS(O401&gt;=3000,20%,O401&gt;=1000,15%,O401&gt;=500,10%,O401&gt;=200,5%,O401&lt;200,0%)</f>
        <v>0.05</v>
      </c>
      <c r="Q401">
        <f t="shared" si="12"/>
        <v>16.80705</v>
      </c>
      <c r="R401" t="str">
        <f t="shared" si="13"/>
        <v>Low Risk</v>
      </c>
    </row>
    <row r="402" spans="1:18" x14ac:dyDescent="0.35">
      <c r="A402" s="1" t="s">
        <v>540</v>
      </c>
      <c r="B402" s="2">
        <v>45441</v>
      </c>
      <c r="C402" s="1" t="s">
        <v>388</v>
      </c>
      <c r="D402" s="1">
        <v>21</v>
      </c>
      <c r="E402" s="1" t="s">
        <v>20</v>
      </c>
      <c r="F402" s="1" t="s">
        <v>27</v>
      </c>
      <c r="G402" s="1" t="s">
        <v>22</v>
      </c>
      <c r="H402" s="1" t="s">
        <v>28</v>
      </c>
      <c r="I402" s="1">
        <v>110.7</v>
      </c>
      <c r="J402" s="1">
        <v>2</v>
      </c>
      <c r="K402" s="1">
        <v>5</v>
      </c>
      <c r="L402" s="1" t="s">
        <v>52</v>
      </c>
      <c r="M402" s="1">
        <v>3</v>
      </c>
      <c r="N402" s="1">
        <v>1</v>
      </c>
      <c r="O402" s="1">
        <v>210.33</v>
      </c>
      <c r="P402" cm="1">
        <f t="array" ref="P402">_xlfn.IFS(O402&gt;=3000,20%,O402&gt;=1000,15%,O402&gt;=500,10%,O402&gt;=200,5%,O402&lt;200,0%)</f>
        <v>0.05</v>
      </c>
      <c r="Q402">
        <f t="shared" si="12"/>
        <v>10.516500000000001</v>
      </c>
      <c r="R402" t="str">
        <f t="shared" si="13"/>
        <v>Medium Risk</v>
      </c>
    </row>
    <row r="403" spans="1:18" x14ac:dyDescent="0.35">
      <c r="A403" s="1" t="s">
        <v>541</v>
      </c>
      <c r="B403" s="2">
        <v>45605</v>
      </c>
      <c r="C403" s="1" t="s">
        <v>291</v>
      </c>
      <c r="D403" s="1">
        <v>47</v>
      </c>
      <c r="E403" s="1" t="s">
        <v>20</v>
      </c>
      <c r="F403" s="1" t="s">
        <v>27</v>
      </c>
      <c r="G403" s="1" t="s">
        <v>47</v>
      </c>
      <c r="H403" s="1" t="s">
        <v>42</v>
      </c>
      <c r="I403" s="1">
        <v>610.74</v>
      </c>
      <c r="J403" s="1">
        <v>1</v>
      </c>
      <c r="K403" s="1">
        <v>10</v>
      </c>
      <c r="L403" s="1" t="s">
        <v>24</v>
      </c>
      <c r="M403" s="1">
        <v>5</v>
      </c>
      <c r="N403" s="1">
        <v>4</v>
      </c>
      <c r="O403" s="1">
        <v>549.66600000000005</v>
      </c>
      <c r="P403" cm="1">
        <f t="array" ref="P403">_xlfn.IFS(O403&gt;=3000,20%,O403&gt;=1000,15%,O403&gt;=500,10%,O403&gt;=200,5%,O403&lt;200,0%)</f>
        <v>0.1</v>
      </c>
      <c r="Q403">
        <f t="shared" si="12"/>
        <v>54.966600000000007</v>
      </c>
      <c r="R403" t="str">
        <f t="shared" si="13"/>
        <v>Low Risk</v>
      </c>
    </row>
    <row r="404" spans="1:18" x14ac:dyDescent="0.35">
      <c r="A404" s="1" t="s">
        <v>542</v>
      </c>
      <c r="B404" s="2">
        <v>45349</v>
      </c>
      <c r="C404" s="1" t="s">
        <v>266</v>
      </c>
      <c r="D404" s="1">
        <v>28</v>
      </c>
      <c r="E404" s="1" t="s">
        <v>32</v>
      </c>
      <c r="F404" s="1" t="s">
        <v>27</v>
      </c>
      <c r="G404" s="1" t="s">
        <v>47</v>
      </c>
      <c r="H404" s="1" t="s">
        <v>64</v>
      </c>
      <c r="I404" s="1">
        <v>957.53</v>
      </c>
      <c r="J404" s="1">
        <v>1</v>
      </c>
      <c r="K404" s="1">
        <v>5</v>
      </c>
      <c r="L404" s="1" t="s">
        <v>43</v>
      </c>
      <c r="M404" s="1">
        <v>1</v>
      </c>
      <c r="N404" s="1">
        <v>6</v>
      </c>
      <c r="O404" s="1">
        <v>909.65350000000001</v>
      </c>
      <c r="P404" cm="1">
        <f t="array" ref="P404">_xlfn.IFS(O404&gt;=3000,20%,O404&gt;=1000,15%,O404&gt;=500,10%,O404&gt;=200,5%,O404&lt;200,0%)</f>
        <v>0.1</v>
      </c>
      <c r="Q404">
        <f t="shared" si="12"/>
        <v>90.965350000000001</v>
      </c>
      <c r="R404" t="str">
        <f t="shared" si="13"/>
        <v>High Risk</v>
      </c>
    </row>
    <row r="405" spans="1:18" x14ac:dyDescent="0.35">
      <c r="A405" s="1" t="s">
        <v>543</v>
      </c>
      <c r="B405" s="2">
        <v>45633</v>
      </c>
      <c r="C405" s="1" t="s">
        <v>324</v>
      </c>
      <c r="D405" s="1">
        <v>47</v>
      </c>
      <c r="E405" s="1" t="s">
        <v>20</v>
      </c>
      <c r="F405" s="1" t="s">
        <v>21</v>
      </c>
      <c r="G405" s="1" t="s">
        <v>38</v>
      </c>
      <c r="H405" s="1" t="s">
        <v>48</v>
      </c>
      <c r="I405" s="1">
        <v>854.36</v>
      </c>
      <c r="J405" s="1">
        <v>2</v>
      </c>
      <c r="K405" s="1">
        <v>5</v>
      </c>
      <c r="L405" s="1" t="s">
        <v>24</v>
      </c>
      <c r="M405" s="1">
        <v>5</v>
      </c>
      <c r="N405" s="1">
        <v>4</v>
      </c>
      <c r="O405" s="1">
        <v>1623.2840000000001</v>
      </c>
      <c r="P405" cm="1">
        <f t="array" ref="P405">_xlfn.IFS(O405&gt;=3000,20%,O405&gt;=1000,15%,O405&gt;=500,10%,O405&gt;=200,5%,O405&lt;200,0%)</f>
        <v>0.15</v>
      </c>
      <c r="Q405">
        <f t="shared" si="12"/>
        <v>243.49260000000001</v>
      </c>
      <c r="R405" t="str">
        <f t="shared" si="13"/>
        <v>Low Risk</v>
      </c>
    </row>
    <row r="406" spans="1:18" x14ac:dyDescent="0.35">
      <c r="A406" s="1" t="s">
        <v>544</v>
      </c>
      <c r="B406" s="2">
        <v>45596</v>
      </c>
      <c r="C406" s="1" t="s">
        <v>164</v>
      </c>
      <c r="D406" s="1">
        <v>48</v>
      </c>
      <c r="E406" s="1" t="s">
        <v>20</v>
      </c>
      <c r="F406" s="1" t="s">
        <v>51</v>
      </c>
      <c r="G406" s="1" t="s">
        <v>47</v>
      </c>
      <c r="H406" s="1" t="s">
        <v>55</v>
      </c>
      <c r="I406" s="1">
        <v>79.27</v>
      </c>
      <c r="J406" s="1">
        <v>2</v>
      </c>
      <c r="K406" s="1">
        <v>15</v>
      </c>
      <c r="L406" s="1" t="s">
        <v>29</v>
      </c>
      <c r="M406" s="1">
        <v>3</v>
      </c>
      <c r="N406" s="1">
        <v>1</v>
      </c>
      <c r="O406" s="1">
        <v>134.75899999999999</v>
      </c>
      <c r="P406" cm="1">
        <f t="array" ref="P406">_xlfn.IFS(O406&gt;=3000,20%,O406&gt;=1000,15%,O406&gt;=500,10%,O406&gt;=200,5%,O406&lt;200,0%)</f>
        <v>0</v>
      </c>
      <c r="Q406">
        <f t="shared" si="12"/>
        <v>0</v>
      </c>
      <c r="R406" t="str">
        <f t="shared" si="13"/>
        <v>Medium Risk</v>
      </c>
    </row>
    <row r="407" spans="1:18" x14ac:dyDescent="0.35">
      <c r="A407" s="1" t="s">
        <v>545</v>
      </c>
      <c r="B407" s="2">
        <v>45471</v>
      </c>
      <c r="C407" s="1" t="s">
        <v>299</v>
      </c>
      <c r="D407" s="1">
        <v>41</v>
      </c>
      <c r="E407" s="1" t="s">
        <v>32</v>
      </c>
      <c r="F407" s="1" t="s">
        <v>21</v>
      </c>
      <c r="G407" s="1" t="s">
        <v>38</v>
      </c>
      <c r="H407" s="1" t="s">
        <v>96</v>
      </c>
      <c r="I407" s="1">
        <v>106.02</v>
      </c>
      <c r="J407" s="1">
        <v>4</v>
      </c>
      <c r="K407" s="1">
        <v>10</v>
      </c>
      <c r="L407" s="1" t="s">
        <v>29</v>
      </c>
      <c r="M407" s="1">
        <v>4</v>
      </c>
      <c r="N407" s="1">
        <v>7</v>
      </c>
      <c r="O407" s="1">
        <v>381.67200000000003</v>
      </c>
      <c r="P407" cm="1">
        <f t="array" ref="P407">_xlfn.IFS(O407&gt;=3000,20%,O407&gt;=1000,15%,O407&gt;=500,10%,O407&gt;=200,5%,O407&lt;200,0%)</f>
        <v>0.05</v>
      </c>
      <c r="Q407">
        <f t="shared" si="12"/>
        <v>19.083600000000001</v>
      </c>
      <c r="R407" t="str">
        <f t="shared" si="13"/>
        <v>Low Risk</v>
      </c>
    </row>
    <row r="408" spans="1:18" x14ac:dyDescent="0.35">
      <c r="A408" s="1" t="s">
        <v>546</v>
      </c>
      <c r="B408" s="2">
        <v>45461</v>
      </c>
      <c r="C408" s="1" t="s">
        <v>111</v>
      </c>
      <c r="E408" s="1" t="s">
        <v>20</v>
      </c>
      <c r="G408" s="1" t="s">
        <v>34</v>
      </c>
      <c r="H408" s="1" t="s">
        <v>55</v>
      </c>
      <c r="I408" s="1">
        <v>495.39</v>
      </c>
      <c r="J408" s="1">
        <v>1</v>
      </c>
      <c r="K408" s="1">
        <v>15</v>
      </c>
      <c r="L408" s="1" t="s">
        <v>29</v>
      </c>
      <c r="N408" s="1">
        <v>2</v>
      </c>
      <c r="O408" s="1">
        <v>421.08150000000001</v>
      </c>
      <c r="P408" cm="1">
        <f t="array" ref="P408">_xlfn.IFS(O408&gt;=3000,20%,O408&gt;=1000,15%,O408&gt;=500,10%,O408&gt;=200,5%,O408&lt;200,0%)</f>
        <v>0.05</v>
      </c>
      <c r="Q408">
        <f t="shared" si="12"/>
        <v>21.054075000000001</v>
      </c>
      <c r="R408" t="str">
        <f t="shared" si="13"/>
        <v>Missing Data</v>
      </c>
    </row>
    <row r="409" spans="1:18" x14ac:dyDescent="0.35">
      <c r="A409" s="1" t="s">
        <v>547</v>
      </c>
      <c r="B409" s="2">
        <v>45617</v>
      </c>
      <c r="C409" s="1" t="s">
        <v>548</v>
      </c>
      <c r="D409" s="1">
        <v>20</v>
      </c>
      <c r="E409" s="1" t="s">
        <v>20</v>
      </c>
      <c r="F409" s="1" t="s">
        <v>51</v>
      </c>
      <c r="G409" s="1" t="s">
        <v>22</v>
      </c>
      <c r="H409" s="1" t="s">
        <v>42</v>
      </c>
      <c r="I409" s="1">
        <v>368.44</v>
      </c>
      <c r="J409" s="1">
        <v>1</v>
      </c>
      <c r="K409" s="1">
        <v>5</v>
      </c>
      <c r="L409" s="1" t="s">
        <v>24</v>
      </c>
      <c r="M409" s="1">
        <v>5</v>
      </c>
      <c r="N409" s="1">
        <v>9</v>
      </c>
      <c r="O409" s="1">
        <v>350.01799999999997</v>
      </c>
      <c r="P409" cm="1">
        <f t="array" ref="P409">_xlfn.IFS(O409&gt;=3000,20%,O409&gt;=1000,15%,O409&gt;=500,10%,O409&gt;=200,5%,O409&lt;200,0%)</f>
        <v>0.05</v>
      </c>
      <c r="Q409">
        <f t="shared" si="12"/>
        <v>17.500899999999998</v>
      </c>
      <c r="R409" t="str">
        <f t="shared" si="13"/>
        <v>Low Risk</v>
      </c>
    </row>
    <row r="410" spans="1:18" x14ac:dyDescent="0.35">
      <c r="A410" s="1" t="s">
        <v>549</v>
      </c>
      <c r="B410" s="2">
        <v>45562</v>
      </c>
      <c r="C410" s="1" t="s">
        <v>50</v>
      </c>
      <c r="E410" s="1" t="s">
        <v>32</v>
      </c>
      <c r="G410" s="1" t="s">
        <v>34</v>
      </c>
      <c r="H410" s="1" t="s">
        <v>28</v>
      </c>
      <c r="I410" s="1">
        <v>294.20999999999998</v>
      </c>
      <c r="J410" s="1">
        <v>1</v>
      </c>
      <c r="K410" s="1">
        <v>0</v>
      </c>
      <c r="L410" s="1" t="s">
        <v>52</v>
      </c>
      <c r="N410" s="1">
        <v>3</v>
      </c>
      <c r="O410" s="1">
        <v>294.20999999999998</v>
      </c>
      <c r="P410" cm="1">
        <f t="array" ref="P410">_xlfn.IFS(O410&gt;=3000,20%,O410&gt;=1000,15%,O410&gt;=500,10%,O410&gt;=200,5%,O410&lt;200,0%)</f>
        <v>0.05</v>
      </c>
      <c r="Q410">
        <f t="shared" si="12"/>
        <v>14.7105</v>
      </c>
      <c r="R410" t="str">
        <f t="shared" si="13"/>
        <v>Missing Data</v>
      </c>
    </row>
    <row r="411" spans="1:18" x14ac:dyDescent="0.35">
      <c r="A411" s="1" t="s">
        <v>550</v>
      </c>
      <c r="B411" s="2">
        <v>45345</v>
      </c>
      <c r="C411" s="1" t="s">
        <v>354</v>
      </c>
      <c r="D411" s="1">
        <v>57</v>
      </c>
      <c r="E411" s="1" t="s">
        <v>32</v>
      </c>
      <c r="F411" s="1" t="s">
        <v>33</v>
      </c>
      <c r="G411" s="1" t="s">
        <v>47</v>
      </c>
      <c r="H411" s="1" t="s">
        <v>125</v>
      </c>
      <c r="I411" s="1">
        <v>351.59</v>
      </c>
      <c r="J411" s="1">
        <v>4</v>
      </c>
      <c r="K411" s="1">
        <v>5</v>
      </c>
      <c r="L411" s="1" t="s">
        <v>29</v>
      </c>
      <c r="M411" s="1">
        <v>2</v>
      </c>
      <c r="N411" s="1">
        <v>8</v>
      </c>
      <c r="O411" s="1">
        <v>1336.0419999999999</v>
      </c>
      <c r="P411" cm="1">
        <f t="array" ref="P411">_xlfn.IFS(O411&gt;=3000,20%,O411&gt;=1000,15%,O411&gt;=500,10%,O411&gt;=200,5%,O411&lt;200,0%)</f>
        <v>0.15</v>
      </c>
      <c r="Q411">
        <f t="shared" si="12"/>
        <v>200.40629999999999</v>
      </c>
      <c r="R411" t="str">
        <f t="shared" si="13"/>
        <v>Medium Risk</v>
      </c>
    </row>
    <row r="412" spans="1:18" x14ac:dyDescent="0.35">
      <c r="A412" s="1" t="s">
        <v>551</v>
      </c>
      <c r="B412" s="2">
        <v>45392</v>
      </c>
      <c r="C412" s="1" t="s">
        <v>76</v>
      </c>
      <c r="D412" s="1">
        <v>54</v>
      </c>
      <c r="E412" s="1" t="s">
        <v>32</v>
      </c>
      <c r="F412" s="1" t="s">
        <v>51</v>
      </c>
      <c r="G412" s="1" t="s">
        <v>34</v>
      </c>
      <c r="H412" s="1" t="s">
        <v>96</v>
      </c>
      <c r="I412" s="1">
        <v>968.11</v>
      </c>
      <c r="J412" s="1">
        <v>1</v>
      </c>
      <c r="K412" s="1">
        <v>15</v>
      </c>
      <c r="L412" s="1" t="s">
        <v>29</v>
      </c>
      <c r="M412" s="1">
        <v>1</v>
      </c>
      <c r="N412" s="1">
        <v>8</v>
      </c>
      <c r="O412" s="1">
        <v>822.89350000000002</v>
      </c>
      <c r="P412" cm="1">
        <f t="array" ref="P412">_xlfn.IFS(O412&gt;=3000,20%,O412&gt;=1000,15%,O412&gt;=500,10%,O412&gt;=200,5%,O412&lt;200,0%)</f>
        <v>0.1</v>
      </c>
      <c r="Q412">
        <f t="shared" si="12"/>
        <v>82.289350000000013</v>
      </c>
      <c r="R412" t="str">
        <f t="shared" si="13"/>
        <v>High Risk</v>
      </c>
    </row>
    <row r="413" spans="1:18" x14ac:dyDescent="0.35">
      <c r="A413" s="1" t="s">
        <v>552</v>
      </c>
      <c r="B413" s="2">
        <v>45555</v>
      </c>
      <c r="C413" s="1" t="s">
        <v>403</v>
      </c>
      <c r="D413" s="1">
        <v>53</v>
      </c>
      <c r="E413" s="1" t="s">
        <v>20</v>
      </c>
      <c r="F413" s="1" t="s">
        <v>51</v>
      </c>
      <c r="G413" s="1" t="s">
        <v>34</v>
      </c>
      <c r="H413" s="1" t="s">
        <v>23</v>
      </c>
      <c r="I413" s="1">
        <v>1116.49</v>
      </c>
      <c r="J413" s="1">
        <v>4</v>
      </c>
      <c r="K413" s="1">
        <v>10</v>
      </c>
      <c r="L413" s="1" t="s">
        <v>24</v>
      </c>
      <c r="M413" s="1">
        <v>1</v>
      </c>
      <c r="N413" s="1">
        <v>3</v>
      </c>
      <c r="O413" s="1">
        <v>4019.364</v>
      </c>
      <c r="P413" cm="1">
        <f t="array" ref="P413">_xlfn.IFS(O413&gt;=3000,20%,O413&gt;=1000,15%,O413&gt;=500,10%,O413&gt;=200,5%,O413&lt;200,0%)</f>
        <v>0.2</v>
      </c>
      <c r="Q413">
        <f t="shared" si="12"/>
        <v>803.8728000000001</v>
      </c>
      <c r="R413" t="str">
        <f t="shared" si="13"/>
        <v>High Risk</v>
      </c>
    </row>
    <row r="414" spans="1:18" x14ac:dyDescent="0.35">
      <c r="A414" s="1" t="s">
        <v>553</v>
      </c>
      <c r="B414" s="2">
        <v>45344</v>
      </c>
      <c r="C414" s="1" t="s">
        <v>287</v>
      </c>
      <c r="D414" s="1">
        <v>41</v>
      </c>
      <c r="E414" s="1" t="s">
        <v>20</v>
      </c>
      <c r="F414" s="1" t="s">
        <v>21</v>
      </c>
      <c r="G414" s="1" t="s">
        <v>34</v>
      </c>
      <c r="H414" s="1" t="s">
        <v>79</v>
      </c>
      <c r="I414" s="1">
        <v>498.02</v>
      </c>
      <c r="J414" s="1">
        <v>3</v>
      </c>
      <c r="K414" s="1">
        <v>10</v>
      </c>
      <c r="L414" s="1" t="s">
        <v>43</v>
      </c>
      <c r="M414" s="1">
        <v>2</v>
      </c>
      <c r="N414" s="1">
        <v>4</v>
      </c>
      <c r="O414" s="1">
        <v>1344.654</v>
      </c>
      <c r="P414" cm="1">
        <f t="array" ref="P414">_xlfn.IFS(O414&gt;=3000,20%,O414&gt;=1000,15%,O414&gt;=500,10%,O414&gt;=200,5%,O414&lt;200,0%)</f>
        <v>0.15</v>
      </c>
      <c r="Q414">
        <f t="shared" si="12"/>
        <v>201.69809999999998</v>
      </c>
      <c r="R414" t="str">
        <f t="shared" si="13"/>
        <v>Medium Risk</v>
      </c>
    </row>
    <row r="415" spans="1:18" x14ac:dyDescent="0.35">
      <c r="A415" s="1" t="s">
        <v>554</v>
      </c>
      <c r="B415" s="2">
        <v>45351</v>
      </c>
      <c r="C415" s="1" t="s">
        <v>264</v>
      </c>
      <c r="D415" s="1">
        <v>48</v>
      </c>
      <c r="E415" s="1" t="s">
        <v>20</v>
      </c>
      <c r="F415" s="1" t="s">
        <v>21</v>
      </c>
      <c r="G415" s="1" t="s">
        <v>47</v>
      </c>
      <c r="H415" s="1" t="s">
        <v>125</v>
      </c>
      <c r="I415" s="1">
        <v>1089.21</v>
      </c>
      <c r="J415" s="1">
        <v>4</v>
      </c>
      <c r="K415" s="1">
        <v>15</v>
      </c>
      <c r="L415" s="1" t="s">
        <v>43</v>
      </c>
      <c r="M415" s="1">
        <v>2</v>
      </c>
      <c r="N415" s="1">
        <v>2</v>
      </c>
      <c r="O415" s="1">
        <v>3703.3139999999999</v>
      </c>
      <c r="P415" cm="1">
        <f t="array" ref="P415">_xlfn.IFS(O415&gt;=3000,20%,O415&gt;=1000,15%,O415&gt;=500,10%,O415&gt;=200,5%,O415&lt;200,0%)</f>
        <v>0.2</v>
      </c>
      <c r="Q415">
        <f t="shared" si="12"/>
        <v>740.66280000000006</v>
      </c>
      <c r="R415" t="str">
        <f t="shared" si="13"/>
        <v>Medium Risk</v>
      </c>
    </row>
    <row r="416" spans="1:18" x14ac:dyDescent="0.35">
      <c r="A416" s="1" t="s">
        <v>555</v>
      </c>
      <c r="B416" s="2">
        <v>45399</v>
      </c>
      <c r="C416" s="1" t="s">
        <v>116</v>
      </c>
      <c r="D416" s="1">
        <v>23</v>
      </c>
      <c r="E416" s="1" t="s">
        <v>32</v>
      </c>
      <c r="F416" s="1" t="s">
        <v>33</v>
      </c>
      <c r="G416" s="1" t="s">
        <v>34</v>
      </c>
      <c r="H416" s="1" t="s">
        <v>79</v>
      </c>
      <c r="I416" s="1">
        <v>399.36</v>
      </c>
      <c r="J416" s="1">
        <v>3</v>
      </c>
      <c r="K416" s="1">
        <v>10</v>
      </c>
      <c r="L416" s="1" t="s">
        <v>52</v>
      </c>
      <c r="M416" s="1">
        <v>5</v>
      </c>
      <c r="N416" s="1">
        <v>4</v>
      </c>
      <c r="O416" s="1">
        <v>1078.2719999999999</v>
      </c>
      <c r="P416" cm="1">
        <f t="array" ref="P416">_xlfn.IFS(O416&gt;=3000,20%,O416&gt;=1000,15%,O416&gt;=500,10%,O416&gt;=200,5%,O416&lt;200,0%)</f>
        <v>0.15</v>
      </c>
      <c r="Q416">
        <f t="shared" si="12"/>
        <v>161.74079999999998</v>
      </c>
      <c r="R416" t="str">
        <f t="shared" si="13"/>
        <v>Low Risk</v>
      </c>
    </row>
    <row r="417" spans="1:18" x14ac:dyDescent="0.35">
      <c r="A417" s="1" t="s">
        <v>556</v>
      </c>
      <c r="B417" s="2">
        <v>45296</v>
      </c>
      <c r="C417" s="1" t="s">
        <v>140</v>
      </c>
      <c r="D417" s="1">
        <v>19</v>
      </c>
      <c r="E417" s="1" t="s">
        <v>32</v>
      </c>
      <c r="F417" s="1" t="s">
        <v>27</v>
      </c>
      <c r="G417" s="1" t="s">
        <v>38</v>
      </c>
      <c r="H417" s="1" t="s">
        <v>48</v>
      </c>
      <c r="I417" s="1">
        <v>582.20000000000005</v>
      </c>
      <c r="J417" s="1">
        <v>1</v>
      </c>
      <c r="K417" s="1">
        <v>20</v>
      </c>
      <c r="L417" s="1" t="s">
        <v>52</v>
      </c>
      <c r="M417" s="1">
        <v>2</v>
      </c>
      <c r="N417" s="1">
        <v>9</v>
      </c>
      <c r="O417" s="1">
        <v>465.76</v>
      </c>
      <c r="P417" cm="1">
        <f t="array" ref="P417">_xlfn.IFS(O417&gt;=3000,20%,O417&gt;=1000,15%,O417&gt;=500,10%,O417&gt;=200,5%,O417&lt;200,0%)</f>
        <v>0.05</v>
      </c>
      <c r="Q417">
        <f t="shared" si="12"/>
        <v>23.288</v>
      </c>
      <c r="R417" t="str">
        <f t="shared" si="13"/>
        <v>Medium Risk</v>
      </c>
    </row>
    <row r="418" spans="1:18" x14ac:dyDescent="0.35">
      <c r="A418" s="1" t="s">
        <v>557</v>
      </c>
      <c r="B418" s="2">
        <v>45394</v>
      </c>
      <c r="C418" s="1" t="s">
        <v>237</v>
      </c>
      <c r="D418" s="1">
        <v>37</v>
      </c>
      <c r="E418" s="1" t="s">
        <v>20</v>
      </c>
      <c r="F418" s="1" t="s">
        <v>51</v>
      </c>
      <c r="G418" s="1" t="s">
        <v>47</v>
      </c>
      <c r="H418" s="1" t="s">
        <v>64</v>
      </c>
      <c r="I418" s="1">
        <v>286.70999999999998</v>
      </c>
      <c r="J418" s="1">
        <v>3</v>
      </c>
      <c r="K418" s="1">
        <v>0</v>
      </c>
      <c r="L418" s="1" t="s">
        <v>29</v>
      </c>
      <c r="M418" s="1">
        <v>4</v>
      </c>
      <c r="N418" s="1">
        <v>2</v>
      </c>
      <c r="O418" s="1">
        <v>860.13</v>
      </c>
      <c r="P418" cm="1">
        <f t="array" ref="P418">_xlfn.IFS(O418&gt;=3000,20%,O418&gt;=1000,15%,O418&gt;=500,10%,O418&gt;=200,5%,O418&lt;200,0%)</f>
        <v>0.1</v>
      </c>
      <c r="Q418">
        <f t="shared" si="12"/>
        <v>86.013000000000005</v>
      </c>
      <c r="R418" t="str">
        <f t="shared" si="13"/>
        <v>Low Risk</v>
      </c>
    </row>
    <row r="419" spans="1:18" x14ac:dyDescent="0.35">
      <c r="A419" s="1" t="s">
        <v>558</v>
      </c>
      <c r="B419" s="2">
        <v>45487</v>
      </c>
      <c r="C419" s="1" t="s">
        <v>134</v>
      </c>
      <c r="D419" s="1">
        <v>45</v>
      </c>
      <c r="E419" s="1" t="s">
        <v>20</v>
      </c>
      <c r="F419" s="1" t="s">
        <v>21</v>
      </c>
      <c r="G419" s="1" t="s">
        <v>34</v>
      </c>
      <c r="H419" s="1" t="s">
        <v>96</v>
      </c>
      <c r="I419" s="1">
        <v>775.76</v>
      </c>
      <c r="J419" s="1">
        <v>4</v>
      </c>
      <c r="K419" s="1">
        <v>0</v>
      </c>
      <c r="L419" s="1" t="s">
        <v>24</v>
      </c>
      <c r="N419" s="1">
        <v>3</v>
      </c>
      <c r="O419" s="1">
        <v>3103.04</v>
      </c>
      <c r="P419" cm="1">
        <f t="array" ref="P419">_xlfn.IFS(O419&gt;=3000,20%,O419&gt;=1000,15%,O419&gt;=500,10%,O419&gt;=200,5%,O419&lt;200,0%)</f>
        <v>0.2</v>
      </c>
      <c r="Q419">
        <f t="shared" si="12"/>
        <v>620.60800000000006</v>
      </c>
      <c r="R419" t="str">
        <f t="shared" si="13"/>
        <v>Missing Data</v>
      </c>
    </row>
    <row r="420" spans="1:18" x14ac:dyDescent="0.35">
      <c r="A420" s="1" t="s">
        <v>559</v>
      </c>
      <c r="B420" s="2">
        <v>45553</v>
      </c>
      <c r="C420" s="1" t="s">
        <v>85</v>
      </c>
      <c r="D420" s="1">
        <v>28</v>
      </c>
      <c r="E420" s="1" t="s">
        <v>32</v>
      </c>
      <c r="F420" s="1" t="s">
        <v>33</v>
      </c>
      <c r="G420" s="1" t="s">
        <v>47</v>
      </c>
      <c r="H420" s="1" t="s">
        <v>35</v>
      </c>
      <c r="I420" s="1">
        <v>1175.2</v>
      </c>
      <c r="J420" s="1">
        <v>2</v>
      </c>
      <c r="K420" s="1">
        <v>0</v>
      </c>
      <c r="L420" s="1" t="s">
        <v>29</v>
      </c>
      <c r="N420" s="1">
        <v>4</v>
      </c>
      <c r="O420" s="1">
        <v>2350.4</v>
      </c>
      <c r="P420" cm="1">
        <f t="array" ref="P420">_xlfn.IFS(O420&gt;=3000,20%,O420&gt;=1000,15%,O420&gt;=500,10%,O420&gt;=200,5%,O420&lt;200,0%)</f>
        <v>0.15</v>
      </c>
      <c r="Q420">
        <f t="shared" si="12"/>
        <v>352.56</v>
      </c>
      <c r="R420" t="str">
        <f t="shared" si="13"/>
        <v>Missing Data</v>
      </c>
    </row>
    <row r="421" spans="1:18" x14ac:dyDescent="0.35">
      <c r="A421" s="1" t="s">
        <v>560</v>
      </c>
      <c r="B421" s="2">
        <v>45656</v>
      </c>
      <c r="C421" s="1" t="s">
        <v>118</v>
      </c>
      <c r="D421" s="1">
        <v>21</v>
      </c>
      <c r="E421" s="1" t="s">
        <v>32</v>
      </c>
      <c r="F421" s="1" t="s">
        <v>21</v>
      </c>
      <c r="G421" s="1" t="s">
        <v>41</v>
      </c>
      <c r="H421" s="1" t="s">
        <v>96</v>
      </c>
      <c r="I421" s="1">
        <v>732.12</v>
      </c>
      <c r="J421" s="1">
        <v>3</v>
      </c>
      <c r="K421" s="1">
        <v>10</v>
      </c>
      <c r="L421" s="1" t="s">
        <v>52</v>
      </c>
      <c r="M421" s="1">
        <v>3</v>
      </c>
      <c r="N421" s="1">
        <v>5</v>
      </c>
      <c r="O421" s="1">
        <v>1976.7239999999999</v>
      </c>
      <c r="P421" cm="1">
        <f t="array" ref="P421">_xlfn.IFS(O421&gt;=3000,20%,O421&gt;=1000,15%,O421&gt;=500,10%,O421&gt;=200,5%,O421&lt;200,0%)</f>
        <v>0.15</v>
      </c>
      <c r="Q421">
        <f t="shared" si="12"/>
        <v>296.5086</v>
      </c>
      <c r="R421" t="str">
        <f t="shared" si="13"/>
        <v>Medium Risk</v>
      </c>
    </row>
    <row r="422" spans="1:18" x14ac:dyDescent="0.35">
      <c r="A422" s="1" t="s">
        <v>561</v>
      </c>
      <c r="B422" s="2">
        <v>45641</v>
      </c>
      <c r="C422" s="1" t="s">
        <v>87</v>
      </c>
      <c r="D422" s="1">
        <v>32</v>
      </c>
      <c r="E422" s="1" t="s">
        <v>32</v>
      </c>
      <c r="F422" s="1" t="s">
        <v>51</v>
      </c>
      <c r="G422" s="1" t="s">
        <v>38</v>
      </c>
      <c r="H422" s="1" t="s">
        <v>55</v>
      </c>
      <c r="I422" s="1">
        <v>442.22</v>
      </c>
      <c r="J422" s="1">
        <v>3</v>
      </c>
      <c r="K422" s="1">
        <v>10</v>
      </c>
      <c r="L422" s="1" t="s">
        <v>24</v>
      </c>
      <c r="M422" s="1">
        <v>2</v>
      </c>
      <c r="N422" s="1">
        <v>1</v>
      </c>
      <c r="O422" s="1">
        <v>1193.9939999999999</v>
      </c>
      <c r="P422" cm="1">
        <f t="array" ref="P422">_xlfn.IFS(O422&gt;=3000,20%,O422&gt;=1000,15%,O422&gt;=500,10%,O422&gt;=200,5%,O422&lt;200,0%)</f>
        <v>0.15</v>
      </c>
      <c r="Q422">
        <f t="shared" si="12"/>
        <v>179.09909999999999</v>
      </c>
      <c r="R422" t="str">
        <f t="shared" si="13"/>
        <v>Medium Risk</v>
      </c>
    </row>
    <row r="423" spans="1:18" x14ac:dyDescent="0.35">
      <c r="A423" s="1" t="s">
        <v>562</v>
      </c>
      <c r="B423" s="2">
        <v>45338</v>
      </c>
      <c r="C423" s="1" t="s">
        <v>83</v>
      </c>
      <c r="D423" s="1">
        <v>23</v>
      </c>
      <c r="E423" s="1" t="s">
        <v>32</v>
      </c>
      <c r="F423" s="1" t="s">
        <v>51</v>
      </c>
      <c r="G423" s="1" t="s">
        <v>34</v>
      </c>
      <c r="H423" s="1" t="s">
        <v>28</v>
      </c>
      <c r="I423" s="1">
        <v>784.42</v>
      </c>
      <c r="J423" s="1">
        <v>1</v>
      </c>
      <c r="K423" s="1">
        <v>5</v>
      </c>
      <c r="L423" s="1" t="s">
        <v>24</v>
      </c>
      <c r="M423" s="1">
        <v>2</v>
      </c>
      <c r="N423" s="1">
        <v>7</v>
      </c>
      <c r="O423" s="1">
        <v>745.19899999999996</v>
      </c>
      <c r="P423" cm="1">
        <f t="array" ref="P423">_xlfn.IFS(O423&gt;=3000,20%,O423&gt;=1000,15%,O423&gt;=500,10%,O423&gt;=200,5%,O423&lt;200,0%)</f>
        <v>0.1</v>
      </c>
      <c r="Q423">
        <f t="shared" si="12"/>
        <v>74.519899999999993</v>
      </c>
      <c r="R423" t="str">
        <f t="shared" si="13"/>
        <v>Medium Risk</v>
      </c>
    </row>
    <row r="424" spans="1:18" x14ac:dyDescent="0.35">
      <c r="A424" s="1" t="s">
        <v>563</v>
      </c>
      <c r="B424" s="2">
        <v>45646</v>
      </c>
      <c r="C424" s="1" t="s">
        <v>118</v>
      </c>
      <c r="D424" s="1">
        <v>47</v>
      </c>
      <c r="E424" s="1" t="s">
        <v>20</v>
      </c>
      <c r="F424" s="1" t="s">
        <v>46</v>
      </c>
      <c r="G424" s="1" t="s">
        <v>41</v>
      </c>
      <c r="H424" s="1" t="s">
        <v>55</v>
      </c>
      <c r="I424" s="1">
        <v>165.05</v>
      </c>
      <c r="J424" s="1">
        <v>4</v>
      </c>
      <c r="K424" s="1">
        <v>5</v>
      </c>
      <c r="L424" s="1" t="s">
        <v>52</v>
      </c>
      <c r="M424" s="1">
        <v>4</v>
      </c>
      <c r="N424" s="1">
        <v>7</v>
      </c>
      <c r="O424" s="1">
        <v>627.19000000000005</v>
      </c>
      <c r="P424" cm="1">
        <f t="array" ref="P424">_xlfn.IFS(O424&gt;=3000,20%,O424&gt;=1000,15%,O424&gt;=500,10%,O424&gt;=200,5%,O424&lt;200,0%)</f>
        <v>0.1</v>
      </c>
      <c r="Q424">
        <f t="shared" si="12"/>
        <v>62.719000000000008</v>
      </c>
      <c r="R424" t="str">
        <f t="shared" si="13"/>
        <v>Low Risk</v>
      </c>
    </row>
    <row r="425" spans="1:18" x14ac:dyDescent="0.35">
      <c r="A425" s="1" t="s">
        <v>564</v>
      </c>
      <c r="B425" s="2">
        <v>45602</v>
      </c>
      <c r="C425" s="1" t="s">
        <v>83</v>
      </c>
      <c r="D425" s="1">
        <v>55</v>
      </c>
      <c r="E425" s="1" t="s">
        <v>32</v>
      </c>
      <c r="F425" s="1" t="s">
        <v>27</v>
      </c>
      <c r="G425" s="1" t="s">
        <v>41</v>
      </c>
      <c r="H425" s="1" t="s">
        <v>55</v>
      </c>
      <c r="I425" s="1">
        <v>1068.6199999999999</v>
      </c>
      <c r="J425" s="1">
        <v>3</v>
      </c>
      <c r="K425" s="1">
        <v>0</v>
      </c>
      <c r="L425" s="1" t="s">
        <v>43</v>
      </c>
      <c r="M425" s="1">
        <v>1</v>
      </c>
      <c r="N425" s="1">
        <v>9</v>
      </c>
      <c r="O425" s="1">
        <v>3205.86</v>
      </c>
      <c r="P425" cm="1">
        <f t="array" ref="P425">_xlfn.IFS(O425&gt;=3000,20%,O425&gt;=1000,15%,O425&gt;=500,10%,O425&gt;=200,5%,O425&lt;200,0%)</f>
        <v>0.2</v>
      </c>
      <c r="Q425">
        <f t="shared" si="12"/>
        <v>641.17200000000003</v>
      </c>
      <c r="R425" t="str">
        <f t="shared" si="13"/>
        <v>High Risk</v>
      </c>
    </row>
    <row r="426" spans="1:18" x14ac:dyDescent="0.35">
      <c r="A426" s="1" t="s">
        <v>565</v>
      </c>
      <c r="B426" s="2">
        <v>45599</v>
      </c>
      <c r="C426" s="1" t="s">
        <v>352</v>
      </c>
      <c r="D426" s="1">
        <v>19</v>
      </c>
      <c r="E426" s="1" t="s">
        <v>20</v>
      </c>
      <c r="F426" s="1" t="s">
        <v>46</v>
      </c>
      <c r="G426" s="1" t="s">
        <v>47</v>
      </c>
      <c r="H426" s="1" t="s">
        <v>48</v>
      </c>
      <c r="I426" s="1">
        <v>613.64</v>
      </c>
      <c r="J426" s="1">
        <v>3</v>
      </c>
      <c r="K426" s="1">
        <v>20</v>
      </c>
      <c r="L426" s="1" t="s">
        <v>43</v>
      </c>
      <c r="M426" s="1">
        <v>1</v>
      </c>
      <c r="N426" s="1">
        <v>4</v>
      </c>
      <c r="O426" s="1">
        <v>1472.7360000000001</v>
      </c>
      <c r="P426" cm="1">
        <f t="array" ref="P426">_xlfn.IFS(O426&gt;=3000,20%,O426&gt;=1000,15%,O426&gt;=500,10%,O426&gt;=200,5%,O426&lt;200,0%)</f>
        <v>0.15</v>
      </c>
      <c r="Q426">
        <f t="shared" si="12"/>
        <v>220.91040000000001</v>
      </c>
      <c r="R426" t="str">
        <f t="shared" si="13"/>
        <v>High Risk</v>
      </c>
    </row>
    <row r="427" spans="1:18" x14ac:dyDescent="0.35">
      <c r="A427" s="1" t="s">
        <v>566</v>
      </c>
      <c r="B427" s="2">
        <v>45435</v>
      </c>
      <c r="C427" s="1" t="s">
        <v>57</v>
      </c>
      <c r="D427" s="1">
        <v>32</v>
      </c>
      <c r="E427" s="1" t="s">
        <v>20</v>
      </c>
      <c r="F427" s="1" t="s">
        <v>33</v>
      </c>
      <c r="G427" s="1" t="s">
        <v>41</v>
      </c>
      <c r="H427" s="1" t="s">
        <v>125</v>
      </c>
      <c r="I427" s="1">
        <v>550.23</v>
      </c>
      <c r="J427" s="1">
        <v>3</v>
      </c>
      <c r="K427" s="1">
        <v>5</v>
      </c>
      <c r="L427" s="1" t="s">
        <v>24</v>
      </c>
      <c r="N427" s="1">
        <v>6</v>
      </c>
      <c r="O427" s="1">
        <v>1568.1555000000001</v>
      </c>
      <c r="P427" cm="1">
        <f t="array" ref="P427">_xlfn.IFS(O427&gt;=3000,20%,O427&gt;=1000,15%,O427&gt;=500,10%,O427&gt;=200,5%,O427&lt;200,0%)</f>
        <v>0.15</v>
      </c>
      <c r="Q427">
        <f t="shared" si="12"/>
        <v>235.22332499999999</v>
      </c>
      <c r="R427" t="str">
        <f t="shared" si="13"/>
        <v>Missing Data</v>
      </c>
    </row>
    <row r="428" spans="1:18" x14ac:dyDescent="0.35">
      <c r="A428" s="1" t="s">
        <v>567</v>
      </c>
      <c r="B428" s="2">
        <v>45560</v>
      </c>
      <c r="C428" s="1" t="s">
        <v>287</v>
      </c>
      <c r="D428" s="1">
        <v>28</v>
      </c>
      <c r="E428" s="1" t="s">
        <v>20</v>
      </c>
      <c r="F428" s="1" t="s">
        <v>21</v>
      </c>
      <c r="G428" s="1" t="s">
        <v>38</v>
      </c>
      <c r="H428" s="1" t="s">
        <v>35</v>
      </c>
      <c r="I428" s="1">
        <v>711.32</v>
      </c>
      <c r="J428" s="1">
        <v>3</v>
      </c>
      <c r="K428" s="1">
        <v>5</v>
      </c>
      <c r="L428" s="1" t="s">
        <v>29</v>
      </c>
      <c r="N428" s="1">
        <v>2</v>
      </c>
      <c r="O428" s="1">
        <v>2027.2619999999999</v>
      </c>
      <c r="P428" cm="1">
        <f t="array" ref="P428">_xlfn.IFS(O428&gt;=3000,20%,O428&gt;=1000,15%,O428&gt;=500,10%,O428&gt;=200,5%,O428&lt;200,0%)</f>
        <v>0.15</v>
      </c>
      <c r="Q428">
        <f t="shared" si="12"/>
        <v>304.08929999999998</v>
      </c>
      <c r="R428" t="str">
        <f t="shared" si="13"/>
        <v>Missing Data</v>
      </c>
    </row>
    <row r="429" spans="1:18" x14ac:dyDescent="0.35">
      <c r="A429" s="1" t="s">
        <v>568</v>
      </c>
      <c r="B429" s="2">
        <v>45415</v>
      </c>
      <c r="C429" s="1" t="s">
        <v>287</v>
      </c>
      <c r="D429" s="1">
        <v>25</v>
      </c>
      <c r="E429" s="1" t="s">
        <v>32</v>
      </c>
      <c r="F429" s="1" t="s">
        <v>33</v>
      </c>
      <c r="G429" s="1" t="s">
        <v>38</v>
      </c>
      <c r="H429" s="1" t="s">
        <v>35</v>
      </c>
      <c r="I429" s="1">
        <v>757.24</v>
      </c>
      <c r="J429" s="1">
        <v>2</v>
      </c>
      <c r="K429" s="1">
        <v>10</v>
      </c>
      <c r="L429" s="1" t="s">
        <v>43</v>
      </c>
      <c r="M429" s="1">
        <v>5</v>
      </c>
      <c r="N429" s="1">
        <v>4</v>
      </c>
      <c r="O429" s="1">
        <v>1363.0319999999999</v>
      </c>
      <c r="P429" cm="1">
        <f t="array" ref="P429">_xlfn.IFS(O429&gt;=3000,20%,O429&gt;=1000,15%,O429&gt;=500,10%,O429&gt;=200,5%,O429&lt;200,0%)</f>
        <v>0.15</v>
      </c>
      <c r="Q429">
        <f t="shared" si="12"/>
        <v>204.45479999999998</v>
      </c>
      <c r="R429" t="str">
        <f t="shared" si="13"/>
        <v>Low Risk</v>
      </c>
    </row>
    <row r="430" spans="1:18" x14ac:dyDescent="0.35">
      <c r="A430" s="1" t="s">
        <v>569</v>
      </c>
      <c r="B430" s="2">
        <v>45397</v>
      </c>
      <c r="C430" s="1" t="s">
        <v>447</v>
      </c>
      <c r="D430" s="1">
        <v>43</v>
      </c>
      <c r="E430" s="1" t="s">
        <v>32</v>
      </c>
      <c r="F430" s="1" t="s">
        <v>51</v>
      </c>
      <c r="G430" s="1" t="s">
        <v>22</v>
      </c>
      <c r="H430" s="1" t="s">
        <v>55</v>
      </c>
      <c r="I430" s="1">
        <v>104.7</v>
      </c>
      <c r="J430" s="1">
        <v>4</v>
      </c>
      <c r="K430" s="1">
        <v>20</v>
      </c>
      <c r="L430" s="1" t="s">
        <v>29</v>
      </c>
      <c r="M430" s="1">
        <v>4</v>
      </c>
      <c r="N430" s="1">
        <v>2</v>
      </c>
      <c r="O430" s="1">
        <v>335.04</v>
      </c>
      <c r="P430" cm="1">
        <f t="array" ref="P430">_xlfn.IFS(O430&gt;=3000,20%,O430&gt;=1000,15%,O430&gt;=500,10%,O430&gt;=200,5%,O430&lt;200,0%)</f>
        <v>0.05</v>
      </c>
      <c r="Q430">
        <f t="shared" si="12"/>
        <v>16.752000000000002</v>
      </c>
      <c r="R430" t="str">
        <f t="shared" si="13"/>
        <v>Medium Risk</v>
      </c>
    </row>
    <row r="431" spans="1:18" x14ac:dyDescent="0.35">
      <c r="A431" s="1" t="s">
        <v>570</v>
      </c>
      <c r="B431" s="2">
        <v>45449</v>
      </c>
      <c r="C431" s="1" t="s">
        <v>116</v>
      </c>
      <c r="D431" s="1">
        <v>22</v>
      </c>
      <c r="E431" s="1" t="s">
        <v>32</v>
      </c>
      <c r="F431" s="1" t="s">
        <v>46</v>
      </c>
      <c r="G431" s="1" t="s">
        <v>38</v>
      </c>
      <c r="H431" s="1" t="s">
        <v>79</v>
      </c>
      <c r="I431" s="1">
        <v>825.49</v>
      </c>
      <c r="J431" s="1">
        <v>1</v>
      </c>
      <c r="K431" s="1">
        <v>0</v>
      </c>
      <c r="L431" s="1" t="s">
        <v>43</v>
      </c>
      <c r="M431" s="1">
        <v>3</v>
      </c>
      <c r="N431" s="1">
        <v>5</v>
      </c>
      <c r="O431" s="1">
        <v>825.49</v>
      </c>
      <c r="P431" cm="1">
        <f t="array" ref="P431">_xlfn.IFS(O431&gt;=3000,20%,O431&gt;=1000,15%,O431&gt;=500,10%,O431&gt;=200,5%,O431&lt;200,0%)</f>
        <v>0.1</v>
      </c>
      <c r="Q431">
        <f t="shared" si="12"/>
        <v>82.549000000000007</v>
      </c>
      <c r="R431" t="str">
        <f t="shared" si="13"/>
        <v>Medium Risk</v>
      </c>
    </row>
    <row r="432" spans="1:18" x14ac:dyDescent="0.35">
      <c r="A432" s="1" t="s">
        <v>571</v>
      </c>
      <c r="B432" s="2">
        <v>45438</v>
      </c>
      <c r="C432" s="1" t="s">
        <v>128</v>
      </c>
      <c r="D432" s="1">
        <v>23</v>
      </c>
      <c r="E432" s="1" t="s">
        <v>32</v>
      </c>
      <c r="F432" s="1" t="s">
        <v>46</v>
      </c>
      <c r="G432" s="1" t="s">
        <v>41</v>
      </c>
      <c r="H432" s="1" t="s">
        <v>48</v>
      </c>
      <c r="I432" s="1">
        <v>305.48</v>
      </c>
      <c r="J432" s="1">
        <v>1</v>
      </c>
      <c r="K432" s="1">
        <v>5</v>
      </c>
      <c r="L432" s="1" t="s">
        <v>43</v>
      </c>
      <c r="M432" s="1">
        <v>3</v>
      </c>
      <c r="N432" s="1">
        <v>7</v>
      </c>
      <c r="O432" s="1">
        <v>290.20600000000002</v>
      </c>
      <c r="P432" cm="1">
        <f t="array" ref="P432">_xlfn.IFS(O432&gt;=3000,20%,O432&gt;=1000,15%,O432&gt;=500,10%,O432&gt;=200,5%,O432&lt;200,0%)</f>
        <v>0.05</v>
      </c>
      <c r="Q432">
        <f t="shared" si="12"/>
        <v>14.510300000000001</v>
      </c>
      <c r="R432" t="str">
        <f t="shared" si="13"/>
        <v>Medium Risk</v>
      </c>
    </row>
    <row r="433" spans="1:18" x14ac:dyDescent="0.35">
      <c r="A433" s="1" t="s">
        <v>572</v>
      </c>
      <c r="B433" s="2">
        <v>45436</v>
      </c>
      <c r="C433" s="1" t="s">
        <v>219</v>
      </c>
      <c r="D433" s="1">
        <v>43</v>
      </c>
      <c r="E433" s="1" t="s">
        <v>20</v>
      </c>
      <c r="F433" s="1" t="s">
        <v>46</v>
      </c>
      <c r="G433" s="1" t="s">
        <v>38</v>
      </c>
      <c r="H433" s="1" t="s">
        <v>55</v>
      </c>
      <c r="I433" s="1">
        <v>862.46</v>
      </c>
      <c r="J433" s="1">
        <v>2</v>
      </c>
      <c r="K433" s="1">
        <v>20</v>
      </c>
      <c r="L433" s="1" t="s">
        <v>29</v>
      </c>
      <c r="M433" s="1">
        <v>4</v>
      </c>
      <c r="N433" s="1">
        <v>1</v>
      </c>
      <c r="O433" s="1">
        <v>1379.9359999999999</v>
      </c>
      <c r="P433" cm="1">
        <f t="array" ref="P433">_xlfn.IFS(O433&gt;=3000,20%,O433&gt;=1000,15%,O433&gt;=500,10%,O433&gt;=200,5%,O433&lt;200,0%)</f>
        <v>0.15</v>
      </c>
      <c r="Q433">
        <f t="shared" si="12"/>
        <v>206.99039999999999</v>
      </c>
      <c r="R433" t="str">
        <f t="shared" si="13"/>
        <v>Medium Risk</v>
      </c>
    </row>
    <row r="434" spans="1:18" x14ac:dyDescent="0.35">
      <c r="A434" s="1" t="s">
        <v>573</v>
      </c>
      <c r="B434" s="2">
        <v>45411</v>
      </c>
      <c r="C434" s="1" t="s">
        <v>116</v>
      </c>
      <c r="D434" s="1">
        <v>21</v>
      </c>
      <c r="E434" s="1" t="s">
        <v>32</v>
      </c>
      <c r="F434" s="1" t="s">
        <v>33</v>
      </c>
      <c r="G434" s="1" t="s">
        <v>47</v>
      </c>
      <c r="H434" s="1" t="s">
        <v>64</v>
      </c>
      <c r="I434" s="1">
        <v>990.59</v>
      </c>
      <c r="J434" s="1">
        <v>4</v>
      </c>
      <c r="K434" s="1">
        <v>20</v>
      </c>
      <c r="L434" s="1" t="s">
        <v>52</v>
      </c>
      <c r="M434" s="1">
        <v>3</v>
      </c>
      <c r="N434" s="1">
        <v>7</v>
      </c>
      <c r="O434" s="1">
        <v>3169.8879999999999</v>
      </c>
      <c r="P434" cm="1">
        <f t="array" ref="P434">_xlfn.IFS(O434&gt;=3000,20%,O434&gt;=1000,15%,O434&gt;=500,10%,O434&gt;=200,5%,O434&lt;200,0%)</f>
        <v>0.2</v>
      </c>
      <c r="Q434">
        <f t="shared" si="12"/>
        <v>633.97760000000005</v>
      </c>
      <c r="R434" t="str">
        <f t="shared" si="13"/>
        <v>Medium Risk</v>
      </c>
    </row>
    <row r="435" spans="1:18" x14ac:dyDescent="0.35">
      <c r="A435" s="1" t="s">
        <v>574</v>
      </c>
      <c r="B435" s="2">
        <v>45610</v>
      </c>
      <c r="C435" s="1" t="s">
        <v>162</v>
      </c>
      <c r="D435" s="1">
        <v>36</v>
      </c>
      <c r="E435" s="1" t="s">
        <v>32</v>
      </c>
      <c r="F435" s="1" t="s">
        <v>51</v>
      </c>
      <c r="G435" s="1" t="s">
        <v>22</v>
      </c>
      <c r="H435" s="1" t="s">
        <v>28</v>
      </c>
      <c r="I435" s="1">
        <v>968.67</v>
      </c>
      <c r="J435" s="1">
        <v>3</v>
      </c>
      <c r="K435" s="1">
        <v>0</v>
      </c>
      <c r="L435" s="1" t="s">
        <v>43</v>
      </c>
      <c r="M435" s="1">
        <v>1</v>
      </c>
      <c r="N435" s="1">
        <v>6</v>
      </c>
      <c r="O435" s="1">
        <v>2906.01</v>
      </c>
      <c r="P435" cm="1">
        <f t="array" ref="P435">_xlfn.IFS(O435&gt;=3000,20%,O435&gt;=1000,15%,O435&gt;=500,10%,O435&gt;=200,5%,O435&lt;200,0%)</f>
        <v>0.15</v>
      </c>
      <c r="Q435">
        <f t="shared" si="12"/>
        <v>435.9015</v>
      </c>
      <c r="R435" t="str">
        <f t="shared" si="13"/>
        <v>High Risk</v>
      </c>
    </row>
    <row r="436" spans="1:18" x14ac:dyDescent="0.35">
      <c r="A436" s="1" t="s">
        <v>575</v>
      </c>
      <c r="B436" s="2">
        <v>45566</v>
      </c>
      <c r="C436" s="1" t="s">
        <v>354</v>
      </c>
      <c r="D436" s="1">
        <v>37</v>
      </c>
      <c r="E436" s="1" t="s">
        <v>20</v>
      </c>
      <c r="F436" s="1" t="s">
        <v>21</v>
      </c>
      <c r="G436" s="1" t="s">
        <v>41</v>
      </c>
      <c r="H436" s="1" t="s">
        <v>125</v>
      </c>
      <c r="I436" s="1">
        <v>671.95</v>
      </c>
      <c r="J436" s="1">
        <v>2</v>
      </c>
      <c r="K436" s="1">
        <v>20</v>
      </c>
      <c r="L436" s="1" t="s">
        <v>43</v>
      </c>
      <c r="M436" s="1">
        <v>3</v>
      </c>
      <c r="N436" s="1">
        <v>6</v>
      </c>
      <c r="O436" s="1">
        <v>1075.1199999999999</v>
      </c>
      <c r="P436" cm="1">
        <f t="array" ref="P436">_xlfn.IFS(O436&gt;=3000,20%,O436&gt;=1000,15%,O436&gt;=500,10%,O436&gt;=200,5%,O436&lt;200,0%)</f>
        <v>0.15</v>
      </c>
      <c r="Q436">
        <f t="shared" si="12"/>
        <v>161.26799999999997</v>
      </c>
      <c r="R436" t="str">
        <f t="shared" si="13"/>
        <v>Medium Risk</v>
      </c>
    </row>
    <row r="437" spans="1:18" x14ac:dyDescent="0.35">
      <c r="A437" s="1" t="s">
        <v>576</v>
      </c>
      <c r="B437" s="2">
        <v>45383</v>
      </c>
      <c r="C437" s="1" t="s">
        <v>26</v>
      </c>
      <c r="D437" s="1">
        <v>50</v>
      </c>
      <c r="E437" s="1" t="s">
        <v>32</v>
      </c>
      <c r="F437" s="1" t="s">
        <v>21</v>
      </c>
      <c r="G437" s="1" t="s">
        <v>22</v>
      </c>
      <c r="H437" s="1" t="s">
        <v>23</v>
      </c>
      <c r="I437" s="1">
        <v>633.79999999999995</v>
      </c>
      <c r="J437" s="1">
        <v>4</v>
      </c>
      <c r="K437" s="1">
        <v>20</v>
      </c>
      <c r="L437" s="1" t="s">
        <v>29</v>
      </c>
      <c r="M437" s="1">
        <v>3</v>
      </c>
      <c r="N437" s="1">
        <v>8</v>
      </c>
      <c r="O437" s="1">
        <v>2028.16</v>
      </c>
      <c r="P437" cm="1">
        <f t="array" ref="P437">_xlfn.IFS(O437&gt;=3000,20%,O437&gt;=1000,15%,O437&gt;=500,10%,O437&gt;=200,5%,O437&lt;200,0%)</f>
        <v>0.15</v>
      </c>
      <c r="Q437">
        <f t="shared" si="12"/>
        <v>304.22399999999999</v>
      </c>
      <c r="R437" t="str">
        <f t="shared" si="13"/>
        <v>Medium Risk</v>
      </c>
    </row>
    <row r="438" spans="1:18" x14ac:dyDescent="0.35">
      <c r="A438" s="1" t="s">
        <v>577</v>
      </c>
      <c r="B438" s="2">
        <v>45349</v>
      </c>
      <c r="C438" s="1" t="s">
        <v>164</v>
      </c>
      <c r="D438" s="1">
        <v>37</v>
      </c>
      <c r="E438" s="1" t="s">
        <v>20</v>
      </c>
      <c r="F438" s="1" t="s">
        <v>33</v>
      </c>
      <c r="G438" s="1" t="s">
        <v>41</v>
      </c>
      <c r="H438" s="1" t="s">
        <v>64</v>
      </c>
      <c r="I438" s="1">
        <v>188.59</v>
      </c>
      <c r="J438" s="1">
        <v>3</v>
      </c>
      <c r="K438" s="1">
        <v>20</v>
      </c>
      <c r="L438" s="1" t="s">
        <v>52</v>
      </c>
      <c r="M438" s="1">
        <v>4</v>
      </c>
      <c r="N438" s="1">
        <v>8</v>
      </c>
      <c r="O438" s="1">
        <v>452.61599999999999</v>
      </c>
      <c r="P438" cm="1">
        <f t="array" ref="P438">_xlfn.IFS(O438&gt;=3000,20%,O438&gt;=1000,15%,O438&gt;=500,10%,O438&gt;=200,5%,O438&lt;200,0%)</f>
        <v>0.05</v>
      </c>
      <c r="Q438">
        <f t="shared" si="12"/>
        <v>22.630800000000001</v>
      </c>
      <c r="R438" t="str">
        <f t="shared" si="13"/>
        <v>Medium Risk</v>
      </c>
    </row>
    <row r="439" spans="1:18" x14ac:dyDescent="0.35">
      <c r="A439" s="1" t="s">
        <v>578</v>
      </c>
      <c r="B439" s="2">
        <v>45637</v>
      </c>
      <c r="C439" s="1" t="s">
        <v>111</v>
      </c>
      <c r="D439" s="1">
        <v>29</v>
      </c>
      <c r="E439" s="1" t="s">
        <v>20</v>
      </c>
      <c r="F439" s="1" t="s">
        <v>46</v>
      </c>
      <c r="G439" s="1" t="s">
        <v>47</v>
      </c>
      <c r="H439" s="1" t="s">
        <v>79</v>
      </c>
      <c r="I439" s="1">
        <v>934.91</v>
      </c>
      <c r="J439" s="1">
        <v>2</v>
      </c>
      <c r="K439" s="1">
        <v>5</v>
      </c>
      <c r="L439" s="1" t="s">
        <v>43</v>
      </c>
      <c r="M439" s="1">
        <v>4</v>
      </c>
      <c r="N439" s="1">
        <v>6</v>
      </c>
      <c r="O439" s="1">
        <v>1776.329</v>
      </c>
      <c r="P439" cm="1">
        <f t="array" ref="P439">_xlfn.IFS(O439&gt;=3000,20%,O439&gt;=1000,15%,O439&gt;=500,10%,O439&gt;=200,5%,O439&lt;200,0%)</f>
        <v>0.15</v>
      </c>
      <c r="Q439">
        <f t="shared" si="12"/>
        <v>266.44934999999998</v>
      </c>
      <c r="R439" t="str">
        <f t="shared" si="13"/>
        <v>Low Risk</v>
      </c>
    </row>
    <row r="440" spans="1:18" x14ac:dyDescent="0.35">
      <c r="A440" s="1" t="s">
        <v>579</v>
      </c>
      <c r="B440" s="2">
        <v>45520</v>
      </c>
      <c r="C440" s="1" t="s">
        <v>264</v>
      </c>
      <c r="D440" s="1">
        <v>18</v>
      </c>
      <c r="E440" s="1" t="s">
        <v>20</v>
      </c>
      <c r="F440" s="1" t="s">
        <v>27</v>
      </c>
      <c r="G440" s="1" t="s">
        <v>22</v>
      </c>
      <c r="H440" s="1" t="s">
        <v>96</v>
      </c>
      <c r="I440" s="1">
        <v>340.26</v>
      </c>
      <c r="J440" s="1">
        <v>4</v>
      </c>
      <c r="K440" s="1">
        <v>0</v>
      </c>
      <c r="L440" s="1" t="s">
        <v>43</v>
      </c>
      <c r="M440" s="1">
        <v>3</v>
      </c>
      <c r="N440" s="1">
        <v>3</v>
      </c>
      <c r="O440" s="1">
        <v>1361.04</v>
      </c>
      <c r="P440" cm="1">
        <f t="array" ref="P440">_xlfn.IFS(O440&gt;=3000,20%,O440&gt;=1000,15%,O440&gt;=500,10%,O440&gt;=200,5%,O440&lt;200,0%)</f>
        <v>0.15</v>
      </c>
      <c r="Q440">
        <f t="shared" si="12"/>
        <v>204.15599999999998</v>
      </c>
      <c r="R440" t="str">
        <f t="shared" si="13"/>
        <v>Medium Risk</v>
      </c>
    </row>
    <row r="441" spans="1:18" x14ac:dyDescent="0.35">
      <c r="A441" s="1" t="s">
        <v>580</v>
      </c>
      <c r="B441" s="2">
        <v>45408</v>
      </c>
      <c r="C441" s="1" t="s">
        <v>148</v>
      </c>
      <c r="D441" s="1">
        <v>43</v>
      </c>
      <c r="E441" s="1" t="s">
        <v>20</v>
      </c>
      <c r="F441" s="1" t="s">
        <v>33</v>
      </c>
      <c r="G441" s="1" t="s">
        <v>34</v>
      </c>
      <c r="H441" s="1" t="s">
        <v>96</v>
      </c>
      <c r="I441" s="1">
        <v>606.1</v>
      </c>
      <c r="J441" s="1">
        <v>1</v>
      </c>
      <c r="K441" s="1">
        <v>20</v>
      </c>
      <c r="L441" s="1" t="s">
        <v>52</v>
      </c>
      <c r="M441" s="1">
        <v>2</v>
      </c>
      <c r="N441" s="1">
        <v>5</v>
      </c>
      <c r="O441" s="1">
        <v>484.88</v>
      </c>
      <c r="P441" cm="1">
        <f t="array" ref="P441">_xlfn.IFS(O441&gt;=3000,20%,O441&gt;=1000,15%,O441&gt;=500,10%,O441&gt;=200,5%,O441&lt;200,0%)</f>
        <v>0.05</v>
      </c>
      <c r="Q441">
        <f t="shared" si="12"/>
        <v>24.244</v>
      </c>
      <c r="R441" t="str">
        <f t="shared" si="13"/>
        <v>Medium Risk</v>
      </c>
    </row>
    <row r="442" spans="1:18" x14ac:dyDescent="0.35">
      <c r="A442" s="1" t="s">
        <v>581</v>
      </c>
      <c r="B442" s="2">
        <v>45609</v>
      </c>
      <c r="C442" s="1" t="s">
        <v>270</v>
      </c>
      <c r="D442" s="1">
        <v>31</v>
      </c>
      <c r="E442" s="1" t="s">
        <v>20</v>
      </c>
      <c r="F442" s="1" t="s">
        <v>33</v>
      </c>
      <c r="G442" s="1" t="s">
        <v>41</v>
      </c>
      <c r="H442" s="1" t="s">
        <v>64</v>
      </c>
      <c r="I442" s="1">
        <v>355.44</v>
      </c>
      <c r="J442" s="1">
        <v>1</v>
      </c>
      <c r="K442" s="1">
        <v>20</v>
      </c>
      <c r="L442" s="1" t="s">
        <v>43</v>
      </c>
      <c r="M442" s="1">
        <v>4</v>
      </c>
      <c r="N442" s="1">
        <v>2</v>
      </c>
      <c r="O442" s="1">
        <v>284.35199999999998</v>
      </c>
      <c r="P442" cm="1">
        <f t="array" ref="P442">_xlfn.IFS(O442&gt;=3000,20%,O442&gt;=1000,15%,O442&gt;=500,10%,O442&gt;=200,5%,O442&lt;200,0%)</f>
        <v>0.05</v>
      </c>
      <c r="Q442">
        <f t="shared" si="12"/>
        <v>14.217599999999999</v>
      </c>
      <c r="R442" t="str">
        <f t="shared" si="13"/>
        <v>Medium Risk</v>
      </c>
    </row>
    <row r="443" spans="1:18" x14ac:dyDescent="0.35">
      <c r="A443" s="1" t="s">
        <v>582</v>
      </c>
      <c r="B443" s="2">
        <v>45570</v>
      </c>
      <c r="C443" s="1" t="s">
        <v>403</v>
      </c>
      <c r="D443" s="1">
        <v>55</v>
      </c>
      <c r="E443" s="1" t="s">
        <v>20</v>
      </c>
      <c r="F443" s="1" t="s">
        <v>51</v>
      </c>
      <c r="G443" s="1" t="s">
        <v>34</v>
      </c>
      <c r="H443" s="1" t="s">
        <v>55</v>
      </c>
      <c r="I443" s="1">
        <v>177.92</v>
      </c>
      <c r="J443" s="1">
        <v>4</v>
      </c>
      <c r="K443" s="1">
        <v>5</v>
      </c>
      <c r="L443" s="1" t="s">
        <v>52</v>
      </c>
      <c r="M443" s="1">
        <v>5</v>
      </c>
      <c r="N443" s="1">
        <v>5</v>
      </c>
      <c r="O443" s="1">
        <v>676.096</v>
      </c>
      <c r="P443" cm="1">
        <f t="array" ref="P443">_xlfn.IFS(O443&gt;=3000,20%,O443&gt;=1000,15%,O443&gt;=500,10%,O443&gt;=200,5%,O443&lt;200,0%)</f>
        <v>0.1</v>
      </c>
      <c r="Q443">
        <f t="shared" si="12"/>
        <v>67.6096</v>
      </c>
      <c r="R443" t="str">
        <f t="shared" si="13"/>
        <v>Low Risk</v>
      </c>
    </row>
    <row r="444" spans="1:18" x14ac:dyDescent="0.35">
      <c r="A444" s="1" t="s">
        <v>583</v>
      </c>
      <c r="B444" s="2">
        <v>45418</v>
      </c>
      <c r="C444" s="1" t="s">
        <v>148</v>
      </c>
      <c r="D444" s="1">
        <v>54</v>
      </c>
      <c r="E444" s="1" t="s">
        <v>20</v>
      </c>
      <c r="F444" s="1" t="s">
        <v>21</v>
      </c>
      <c r="G444" s="1" t="s">
        <v>22</v>
      </c>
      <c r="H444" s="1" t="s">
        <v>23</v>
      </c>
      <c r="I444" s="1">
        <v>762.88</v>
      </c>
      <c r="J444" s="1">
        <v>1</v>
      </c>
      <c r="K444" s="1">
        <v>0</v>
      </c>
      <c r="L444" s="1" t="s">
        <v>52</v>
      </c>
      <c r="M444" s="1">
        <v>5</v>
      </c>
      <c r="N444" s="1">
        <v>9</v>
      </c>
      <c r="O444" s="1">
        <v>762.88</v>
      </c>
      <c r="P444" cm="1">
        <f t="array" ref="P444">_xlfn.IFS(O444&gt;=3000,20%,O444&gt;=1000,15%,O444&gt;=500,10%,O444&gt;=200,5%,O444&lt;200,0%)</f>
        <v>0.1</v>
      </c>
      <c r="Q444">
        <f t="shared" si="12"/>
        <v>76.287999999999997</v>
      </c>
      <c r="R444" t="str">
        <f t="shared" si="13"/>
        <v>Low Risk</v>
      </c>
    </row>
    <row r="445" spans="1:18" x14ac:dyDescent="0.35">
      <c r="A445" s="1" t="s">
        <v>584</v>
      </c>
      <c r="B445" s="2">
        <v>45420</v>
      </c>
      <c r="C445" s="1" t="s">
        <v>310</v>
      </c>
      <c r="D445" s="1">
        <v>28</v>
      </c>
      <c r="E445" s="1" t="s">
        <v>20</v>
      </c>
      <c r="F445" s="1" t="s">
        <v>33</v>
      </c>
      <c r="G445" s="1" t="s">
        <v>34</v>
      </c>
      <c r="H445" s="1" t="s">
        <v>42</v>
      </c>
      <c r="I445" s="1">
        <v>84.11</v>
      </c>
      <c r="J445" s="1">
        <v>4</v>
      </c>
      <c r="K445" s="1">
        <v>10</v>
      </c>
      <c r="L445" s="1" t="s">
        <v>29</v>
      </c>
      <c r="M445" s="1">
        <v>1</v>
      </c>
      <c r="N445" s="1">
        <v>1</v>
      </c>
      <c r="O445" s="1">
        <v>302.79599999999999</v>
      </c>
      <c r="P445" cm="1">
        <f t="array" ref="P445">_xlfn.IFS(O445&gt;=3000,20%,O445&gt;=1000,15%,O445&gt;=500,10%,O445&gt;=200,5%,O445&lt;200,0%)</f>
        <v>0.05</v>
      </c>
      <c r="Q445">
        <f t="shared" si="12"/>
        <v>15.139800000000001</v>
      </c>
      <c r="R445" t="str">
        <f t="shared" si="13"/>
        <v>High Risk</v>
      </c>
    </row>
    <row r="446" spans="1:18" x14ac:dyDescent="0.35">
      <c r="A446" s="1" t="s">
        <v>585</v>
      </c>
      <c r="B446" s="2">
        <v>45349</v>
      </c>
      <c r="C446" s="1" t="s">
        <v>178</v>
      </c>
      <c r="D446" s="1">
        <v>53</v>
      </c>
      <c r="E446" s="1" t="s">
        <v>32</v>
      </c>
      <c r="F446" s="1" t="s">
        <v>33</v>
      </c>
      <c r="G446" s="1" t="s">
        <v>34</v>
      </c>
      <c r="H446" s="1" t="s">
        <v>42</v>
      </c>
      <c r="I446" s="1">
        <v>903.4</v>
      </c>
      <c r="J446" s="1">
        <v>3</v>
      </c>
      <c r="K446" s="1">
        <v>5</v>
      </c>
      <c r="L446" s="1" t="s">
        <v>24</v>
      </c>
      <c r="M446" s="1">
        <v>3</v>
      </c>
      <c r="N446" s="1">
        <v>5</v>
      </c>
      <c r="O446" s="1">
        <v>2574.69</v>
      </c>
      <c r="P446" cm="1">
        <f t="array" ref="P446">_xlfn.IFS(O446&gt;=3000,20%,O446&gt;=1000,15%,O446&gt;=500,10%,O446&gt;=200,5%,O446&lt;200,0%)</f>
        <v>0.15</v>
      </c>
      <c r="Q446">
        <f t="shared" si="12"/>
        <v>386.20350000000002</v>
      </c>
      <c r="R446" t="str">
        <f t="shared" si="13"/>
        <v>Medium Risk</v>
      </c>
    </row>
    <row r="447" spans="1:18" x14ac:dyDescent="0.35">
      <c r="A447" s="1" t="s">
        <v>586</v>
      </c>
      <c r="B447" s="2">
        <v>45413</v>
      </c>
      <c r="C447" s="1" t="s">
        <v>154</v>
      </c>
      <c r="D447" s="1">
        <v>30</v>
      </c>
      <c r="E447" s="1" t="s">
        <v>32</v>
      </c>
      <c r="F447" s="1" t="s">
        <v>46</v>
      </c>
      <c r="G447" s="1" t="s">
        <v>22</v>
      </c>
      <c r="H447" s="1" t="s">
        <v>79</v>
      </c>
      <c r="I447" s="1">
        <v>394.75</v>
      </c>
      <c r="J447" s="1">
        <v>4</v>
      </c>
      <c r="K447" s="1">
        <v>0</v>
      </c>
      <c r="L447" s="1" t="s">
        <v>52</v>
      </c>
      <c r="M447" s="1">
        <v>2</v>
      </c>
      <c r="N447" s="1">
        <v>6</v>
      </c>
      <c r="O447" s="1">
        <v>1579</v>
      </c>
      <c r="P447" cm="1">
        <f t="array" ref="P447">_xlfn.IFS(O447&gt;=3000,20%,O447&gt;=1000,15%,O447&gt;=500,10%,O447&gt;=200,5%,O447&lt;200,0%)</f>
        <v>0.15</v>
      </c>
      <c r="Q447">
        <f t="shared" si="12"/>
        <v>236.85</v>
      </c>
      <c r="R447" t="str">
        <f t="shared" si="13"/>
        <v>Medium Risk</v>
      </c>
    </row>
    <row r="448" spans="1:18" x14ac:dyDescent="0.35">
      <c r="A448" s="1" t="s">
        <v>587</v>
      </c>
      <c r="B448" s="2">
        <v>45292</v>
      </c>
      <c r="C448" s="1" t="s">
        <v>98</v>
      </c>
      <c r="D448" s="1">
        <v>20</v>
      </c>
      <c r="E448" s="1" t="s">
        <v>32</v>
      </c>
      <c r="F448" s="1" t="s">
        <v>46</v>
      </c>
      <c r="G448" s="1" t="s">
        <v>47</v>
      </c>
      <c r="H448" s="1" t="s">
        <v>55</v>
      </c>
      <c r="I448" s="1">
        <v>20.16</v>
      </c>
      <c r="J448" s="1">
        <v>3</v>
      </c>
      <c r="K448" s="1">
        <v>20</v>
      </c>
      <c r="L448" s="1" t="s">
        <v>29</v>
      </c>
      <c r="M448" s="1">
        <v>1</v>
      </c>
      <c r="N448" s="1">
        <v>7</v>
      </c>
      <c r="O448" s="1">
        <v>48.384</v>
      </c>
      <c r="P448" cm="1">
        <f t="array" ref="P448">_xlfn.IFS(O448&gt;=3000,20%,O448&gt;=1000,15%,O448&gt;=500,10%,O448&gt;=200,5%,O448&lt;200,0%)</f>
        <v>0</v>
      </c>
      <c r="Q448">
        <f t="shared" si="12"/>
        <v>0</v>
      </c>
      <c r="R448" t="str">
        <f t="shared" si="13"/>
        <v>High Risk</v>
      </c>
    </row>
    <row r="449" spans="1:18" x14ac:dyDescent="0.35">
      <c r="A449" s="1" t="s">
        <v>588</v>
      </c>
      <c r="B449" s="2">
        <v>45530</v>
      </c>
      <c r="C449" s="1" t="s">
        <v>132</v>
      </c>
      <c r="D449" s="1">
        <v>50</v>
      </c>
      <c r="E449" s="1" t="s">
        <v>32</v>
      </c>
      <c r="F449" s="1" t="s">
        <v>27</v>
      </c>
      <c r="G449" s="1" t="s">
        <v>34</v>
      </c>
      <c r="H449" s="1" t="s">
        <v>35</v>
      </c>
      <c r="I449" s="1">
        <v>623.13</v>
      </c>
      <c r="J449" s="1">
        <v>2</v>
      </c>
      <c r="K449" s="1">
        <v>0</v>
      </c>
      <c r="L449" s="1" t="s">
        <v>24</v>
      </c>
      <c r="M449" s="1">
        <v>3</v>
      </c>
      <c r="N449" s="1">
        <v>9</v>
      </c>
      <c r="O449" s="1">
        <v>1246.26</v>
      </c>
      <c r="P449" cm="1">
        <f t="array" ref="P449">_xlfn.IFS(O449&gt;=3000,20%,O449&gt;=1000,15%,O449&gt;=500,10%,O449&gt;=200,5%,O449&lt;200,0%)</f>
        <v>0.15</v>
      </c>
      <c r="Q449">
        <f t="shared" si="12"/>
        <v>186.93899999999999</v>
      </c>
      <c r="R449" t="str">
        <f t="shared" si="13"/>
        <v>Medium Risk</v>
      </c>
    </row>
    <row r="450" spans="1:18" x14ac:dyDescent="0.35">
      <c r="A450" s="1" t="s">
        <v>589</v>
      </c>
      <c r="B450" s="2">
        <v>45581</v>
      </c>
      <c r="C450" s="1" t="s">
        <v>310</v>
      </c>
      <c r="D450" s="1">
        <v>23</v>
      </c>
      <c r="E450" s="1" t="s">
        <v>20</v>
      </c>
      <c r="F450" s="1" t="s">
        <v>51</v>
      </c>
      <c r="G450" s="1" t="s">
        <v>34</v>
      </c>
      <c r="H450" s="1" t="s">
        <v>35</v>
      </c>
      <c r="I450" s="1">
        <v>75.290000000000006</v>
      </c>
      <c r="J450" s="1">
        <v>4</v>
      </c>
      <c r="K450" s="1">
        <v>0</v>
      </c>
      <c r="L450" s="1" t="s">
        <v>43</v>
      </c>
      <c r="M450" s="1">
        <v>4</v>
      </c>
      <c r="N450" s="1">
        <v>6</v>
      </c>
      <c r="O450" s="1">
        <v>301.16000000000003</v>
      </c>
      <c r="P450" cm="1">
        <f t="array" ref="P450">_xlfn.IFS(O450&gt;=3000,20%,O450&gt;=1000,15%,O450&gt;=500,10%,O450&gt;=200,5%,O450&lt;200,0%)</f>
        <v>0.05</v>
      </c>
      <c r="Q450">
        <f t="shared" si="12"/>
        <v>15.058000000000002</v>
      </c>
      <c r="R450" t="str">
        <f t="shared" si="13"/>
        <v>Low Risk</v>
      </c>
    </row>
    <row r="451" spans="1:18" x14ac:dyDescent="0.35">
      <c r="A451" s="1" t="s">
        <v>590</v>
      </c>
      <c r="B451" s="2">
        <v>45387</v>
      </c>
      <c r="C451" s="1" t="s">
        <v>456</v>
      </c>
      <c r="D451" s="1">
        <v>27</v>
      </c>
      <c r="E451" s="1" t="s">
        <v>32</v>
      </c>
      <c r="F451" s="1" t="s">
        <v>27</v>
      </c>
      <c r="G451" s="1" t="s">
        <v>47</v>
      </c>
      <c r="H451" s="1" t="s">
        <v>125</v>
      </c>
      <c r="I451" s="1">
        <v>345.88</v>
      </c>
      <c r="J451" s="1">
        <v>2</v>
      </c>
      <c r="K451" s="1">
        <v>0</v>
      </c>
      <c r="L451" s="1" t="s">
        <v>24</v>
      </c>
      <c r="M451" s="1">
        <v>5</v>
      </c>
      <c r="N451" s="1">
        <v>5</v>
      </c>
      <c r="O451" s="1">
        <v>691.76</v>
      </c>
      <c r="P451" cm="1">
        <f t="array" ref="P451">_xlfn.IFS(O451&gt;=3000,20%,O451&gt;=1000,15%,O451&gt;=500,10%,O451&gt;=200,5%,O451&lt;200,0%)</f>
        <v>0.1</v>
      </c>
      <c r="Q451">
        <f t="shared" ref="Q451:Q501" si="14">(P451*O451)</f>
        <v>69.176000000000002</v>
      </c>
      <c r="R451" t="str">
        <f t="shared" ref="R451:R501" si="15">IF(ISBLANK(K451),"Missing Data",IF(ISBLANK(M451),"Missing Data",IF(AND(K451&lt;=10,M451&gt;=4),"Low Risk",IF(OR(K451&gt;20,M451&lt;2),"High Risk","Medium Risk"))))</f>
        <v>Low Risk</v>
      </c>
    </row>
    <row r="452" spans="1:18" x14ac:dyDescent="0.35">
      <c r="A452" s="1" t="s">
        <v>591</v>
      </c>
      <c r="B452" s="2">
        <v>45417</v>
      </c>
      <c r="C452" s="1" t="s">
        <v>140</v>
      </c>
      <c r="E452" s="1" t="s">
        <v>20</v>
      </c>
      <c r="G452" s="1" t="s">
        <v>34</v>
      </c>
      <c r="H452" s="1" t="s">
        <v>23</v>
      </c>
      <c r="I452" s="1">
        <v>854.23</v>
      </c>
      <c r="J452" s="1">
        <v>1</v>
      </c>
      <c r="K452" s="1">
        <v>10</v>
      </c>
      <c r="L452" s="1" t="s">
        <v>52</v>
      </c>
      <c r="N452" s="1">
        <v>7</v>
      </c>
      <c r="O452" s="1">
        <v>768.80700000000002</v>
      </c>
      <c r="P452" cm="1">
        <f t="array" ref="P452">_xlfn.IFS(O452&gt;=3000,20%,O452&gt;=1000,15%,O452&gt;=500,10%,O452&gt;=200,5%,O452&lt;200,0%)</f>
        <v>0.1</v>
      </c>
      <c r="Q452">
        <f t="shared" si="14"/>
        <v>76.880700000000004</v>
      </c>
      <c r="R452" t="str">
        <f t="shared" si="15"/>
        <v>Missing Data</v>
      </c>
    </row>
    <row r="453" spans="1:18" x14ac:dyDescent="0.35">
      <c r="A453" s="1" t="s">
        <v>592</v>
      </c>
      <c r="B453" s="2">
        <v>45409</v>
      </c>
      <c r="C453" s="1" t="s">
        <v>270</v>
      </c>
      <c r="D453" s="1">
        <v>40</v>
      </c>
      <c r="E453" s="1" t="s">
        <v>32</v>
      </c>
      <c r="F453" s="1" t="s">
        <v>21</v>
      </c>
      <c r="G453" s="1" t="s">
        <v>34</v>
      </c>
      <c r="H453" s="1" t="s">
        <v>23</v>
      </c>
      <c r="I453" s="1">
        <v>93.97</v>
      </c>
      <c r="J453" s="1">
        <v>3</v>
      </c>
      <c r="K453" s="1">
        <v>0</v>
      </c>
      <c r="L453" s="1" t="s">
        <v>52</v>
      </c>
      <c r="M453" s="1">
        <v>2</v>
      </c>
      <c r="N453" s="1">
        <v>1</v>
      </c>
      <c r="O453" s="1">
        <v>281.91000000000003</v>
      </c>
      <c r="P453" cm="1">
        <f t="array" ref="P453">_xlfn.IFS(O453&gt;=3000,20%,O453&gt;=1000,15%,O453&gt;=500,10%,O453&gt;=200,5%,O453&lt;200,0%)</f>
        <v>0.05</v>
      </c>
      <c r="Q453">
        <f t="shared" si="14"/>
        <v>14.095500000000001</v>
      </c>
      <c r="R453" t="str">
        <f t="shared" si="15"/>
        <v>Medium Risk</v>
      </c>
    </row>
    <row r="454" spans="1:18" x14ac:dyDescent="0.35">
      <c r="A454" s="1" t="s">
        <v>593</v>
      </c>
      <c r="B454" s="2">
        <v>45339</v>
      </c>
      <c r="C454" s="1" t="s">
        <v>289</v>
      </c>
      <c r="D454" s="1">
        <v>27</v>
      </c>
      <c r="E454" s="1" t="s">
        <v>32</v>
      </c>
      <c r="F454" s="1" t="s">
        <v>46</v>
      </c>
      <c r="G454" s="1" t="s">
        <v>34</v>
      </c>
      <c r="H454" s="1" t="s">
        <v>96</v>
      </c>
      <c r="I454" s="1">
        <v>1010.42</v>
      </c>
      <c r="J454" s="1">
        <v>4</v>
      </c>
      <c r="K454" s="1">
        <v>10</v>
      </c>
      <c r="L454" s="1" t="s">
        <v>52</v>
      </c>
      <c r="N454" s="1">
        <v>5</v>
      </c>
      <c r="O454" s="1">
        <v>3637.5120000000002</v>
      </c>
      <c r="P454" cm="1">
        <f t="array" ref="P454">_xlfn.IFS(O454&gt;=3000,20%,O454&gt;=1000,15%,O454&gt;=500,10%,O454&gt;=200,5%,O454&lt;200,0%)</f>
        <v>0.2</v>
      </c>
      <c r="Q454">
        <f t="shared" si="14"/>
        <v>727.50240000000008</v>
      </c>
      <c r="R454" t="str">
        <f t="shared" si="15"/>
        <v>Missing Data</v>
      </c>
    </row>
    <row r="455" spans="1:18" x14ac:dyDescent="0.35">
      <c r="A455" s="1" t="s">
        <v>594</v>
      </c>
      <c r="B455" s="2">
        <v>45380</v>
      </c>
      <c r="C455" s="1" t="s">
        <v>167</v>
      </c>
      <c r="D455" s="1">
        <v>19</v>
      </c>
      <c r="E455" s="1" t="s">
        <v>32</v>
      </c>
      <c r="F455" s="1" t="s">
        <v>51</v>
      </c>
      <c r="G455" s="1" t="s">
        <v>38</v>
      </c>
      <c r="H455" s="1" t="s">
        <v>48</v>
      </c>
      <c r="I455" s="1">
        <v>24.51</v>
      </c>
      <c r="J455" s="1">
        <v>2</v>
      </c>
      <c r="K455" s="1">
        <v>20</v>
      </c>
      <c r="L455" s="1" t="s">
        <v>52</v>
      </c>
      <c r="M455" s="1">
        <v>5</v>
      </c>
      <c r="N455" s="1">
        <v>2</v>
      </c>
      <c r="O455" s="1">
        <v>39.216000000000001</v>
      </c>
      <c r="P455" cm="1">
        <f t="array" ref="P455">_xlfn.IFS(O455&gt;=3000,20%,O455&gt;=1000,15%,O455&gt;=500,10%,O455&gt;=200,5%,O455&lt;200,0%)</f>
        <v>0</v>
      </c>
      <c r="Q455">
        <f t="shared" si="14"/>
        <v>0</v>
      </c>
      <c r="R455" t="str">
        <f t="shared" si="15"/>
        <v>Medium Risk</v>
      </c>
    </row>
    <row r="456" spans="1:18" x14ac:dyDescent="0.35">
      <c r="A456" s="1" t="s">
        <v>595</v>
      </c>
      <c r="B456" s="2">
        <v>45528</v>
      </c>
      <c r="C456" s="1" t="s">
        <v>299</v>
      </c>
      <c r="D456" s="1">
        <v>30</v>
      </c>
      <c r="E456" s="1" t="s">
        <v>20</v>
      </c>
      <c r="F456" s="1" t="s">
        <v>46</v>
      </c>
      <c r="G456" s="1" t="s">
        <v>47</v>
      </c>
      <c r="H456" s="1" t="s">
        <v>79</v>
      </c>
      <c r="I456" s="1">
        <v>311.25</v>
      </c>
      <c r="J456" s="1">
        <v>3</v>
      </c>
      <c r="K456" s="1">
        <v>10</v>
      </c>
      <c r="L456" s="1" t="s">
        <v>52</v>
      </c>
      <c r="N456" s="1">
        <v>4</v>
      </c>
      <c r="O456" s="1">
        <v>840.375</v>
      </c>
      <c r="P456" cm="1">
        <f t="array" ref="P456">_xlfn.IFS(O456&gt;=3000,20%,O456&gt;=1000,15%,O456&gt;=500,10%,O456&gt;=200,5%,O456&lt;200,0%)</f>
        <v>0.1</v>
      </c>
      <c r="Q456">
        <f t="shared" si="14"/>
        <v>84.037500000000009</v>
      </c>
      <c r="R456" t="str">
        <f t="shared" si="15"/>
        <v>Missing Data</v>
      </c>
    </row>
    <row r="457" spans="1:18" x14ac:dyDescent="0.35">
      <c r="A457" s="1" t="s">
        <v>596</v>
      </c>
      <c r="B457" s="2">
        <v>45563</v>
      </c>
      <c r="C457" s="1" t="s">
        <v>74</v>
      </c>
      <c r="D457" s="1">
        <v>57</v>
      </c>
      <c r="E457" s="1" t="s">
        <v>32</v>
      </c>
      <c r="F457" s="1" t="s">
        <v>51</v>
      </c>
      <c r="G457" s="1" t="s">
        <v>34</v>
      </c>
      <c r="H457" s="1" t="s">
        <v>42</v>
      </c>
      <c r="I457" s="1">
        <v>894.27</v>
      </c>
      <c r="J457" s="1">
        <v>3</v>
      </c>
      <c r="K457" s="1">
        <v>20</v>
      </c>
      <c r="L457" s="1" t="s">
        <v>29</v>
      </c>
      <c r="M457" s="1">
        <v>4</v>
      </c>
      <c r="N457" s="1">
        <v>7</v>
      </c>
      <c r="O457" s="1">
        <v>2146.248</v>
      </c>
      <c r="P457" cm="1">
        <f t="array" ref="P457">_xlfn.IFS(O457&gt;=3000,20%,O457&gt;=1000,15%,O457&gt;=500,10%,O457&gt;=200,5%,O457&lt;200,0%)</f>
        <v>0.15</v>
      </c>
      <c r="Q457">
        <f t="shared" si="14"/>
        <v>321.93720000000002</v>
      </c>
      <c r="R457" t="str">
        <f t="shared" si="15"/>
        <v>Medium Risk</v>
      </c>
    </row>
    <row r="458" spans="1:18" x14ac:dyDescent="0.35">
      <c r="A458" s="1" t="s">
        <v>597</v>
      </c>
      <c r="B458" s="2">
        <v>45480</v>
      </c>
      <c r="C458" s="1" t="s">
        <v>270</v>
      </c>
      <c r="D458" s="1">
        <v>19</v>
      </c>
      <c r="E458" s="1" t="s">
        <v>20</v>
      </c>
      <c r="F458" s="1" t="s">
        <v>51</v>
      </c>
      <c r="G458" s="1" t="s">
        <v>47</v>
      </c>
      <c r="H458" s="1" t="s">
        <v>79</v>
      </c>
      <c r="I458" s="1">
        <v>393.2</v>
      </c>
      <c r="J458" s="1">
        <v>1</v>
      </c>
      <c r="K458" s="1">
        <v>20</v>
      </c>
      <c r="L458" s="1" t="s">
        <v>52</v>
      </c>
      <c r="M458" s="1">
        <v>3</v>
      </c>
      <c r="N458" s="1">
        <v>5</v>
      </c>
      <c r="O458" s="1">
        <v>314.56</v>
      </c>
      <c r="P458" cm="1">
        <f t="array" ref="P458">_xlfn.IFS(O458&gt;=3000,20%,O458&gt;=1000,15%,O458&gt;=500,10%,O458&gt;=200,5%,O458&lt;200,0%)</f>
        <v>0.05</v>
      </c>
      <c r="Q458">
        <f t="shared" si="14"/>
        <v>15.728000000000002</v>
      </c>
      <c r="R458" t="str">
        <f t="shared" si="15"/>
        <v>Medium Risk</v>
      </c>
    </row>
    <row r="459" spans="1:18" x14ac:dyDescent="0.35">
      <c r="A459" s="1" t="s">
        <v>598</v>
      </c>
      <c r="B459" s="2">
        <v>45483</v>
      </c>
      <c r="C459" s="1" t="s">
        <v>216</v>
      </c>
      <c r="D459" s="1">
        <v>37</v>
      </c>
      <c r="E459" s="1" t="s">
        <v>20</v>
      </c>
      <c r="F459" s="1" t="s">
        <v>51</v>
      </c>
      <c r="G459" s="1" t="s">
        <v>41</v>
      </c>
      <c r="H459" s="1" t="s">
        <v>35</v>
      </c>
      <c r="I459" s="1">
        <v>140.22999999999999</v>
      </c>
      <c r="J459" s="1">
        <v>1</v>
      </c>
      <c r="K459" s="1">
        <v>10</v>
      </c>
      <c r="L459" s="1" t="s">
        <v>29</v>
      </c>
      <c r="M459" s="1">
        <v>4</v>
      </c>
      <c r="N459" s="1">
        <v>6</v>
      </c>
      <c r="O459" s="1">
        <v>126.20699999999999</v>
      </c>
      <c r="P459" cm="1">
        <f t="array" ref="P459">_xlfn.IFS(O459&gt;=3000,20%,O459&gt;=1000,15%,O459&gt;=500,10%,O459&gt;=200,5%,O459&lt;200,0%)</f>
        <v>0</v>
      </c>
      <c r="Q459">
        <f t="shared" si="14"/>
        <v>0</v>
      </c>
      <c r="R459" t="str">
        <f t="shared" si="15"/>
        <v>Low Risk</v>
      </c>
    </row>
    <row r="460" spans="1:18" x14ac:dyDescent="0.35">
      <c r="A460" s="1" t="s">
        <v>599</v>
      </c>
      <c r="B460" s="2">
        <v>45360</v>
      </c>
      <c r="C460" s="1" t="s">
        <v>26</v>
      </c>
      <c r="D460" s="1">
        <v>18</v>
      </c>
      <c r="E460" s="1" t="s">
        <v>32</v>
      </c>
      <c r="F460" s="1" t="s">
        <v>51</v>
      </c>
      <c r="G460" s="1" t="s">
        <v>41</v>
      </c>
      <c r="H460" s="1" t="s">
        <v>35</v>
      </c>
      <c r="I460" s="1">
        <v>445.08</v>
      </c>
      <c r="J460" s="1">
        <v>3</v>
      </c>
      <c r="K460" s="1">
        <v>5</v>
      </c>
      <c r="L460" s="1" t="s">
        <v>43</v>
      </c>
      <c r="N460" s="1">
        <v>2</v>
      </c>
      <c r="O460" s="1">
        <v>1268.4780000000001</v>
      </c>
      <c r="P460" cm="1">
        <f t="array" ref="P460">_xlfn.IFS(O460&gt;=3000,20%,O460&gt;=1000,15%,O460&gt;=500,10%,O460&gt;=200,5%,O460&lt;200,0%)</f>
        <v>0.15</v>
      </c>
      <c r="Q460">
        <f t="shared" si="14"/>
        <v>190.27170000000001</v>
      </c>
      <c r="R460" t="str">
        <f t="shared" si="15"/>
        <v>Missing Data</v>
      </c>
    </row>
    <row r="461" spans="1:18" x14ac:dyDescent="0.35">
      <c r="A461" s="1" t="s">
        <v>600</v>
      </c>
      <c r="B461" s="2">
        <v>45569</v>
      </c>
      <c r="C461" s="1" t="s">
        <v>178</v>
      </c>
      <c r="D461" s="1">
        <v>54</v>
      </c>
      <c r="E461" s="1" t="s">
        <v>32</v>
      </c>
      <c r="F461" s="1" t="s">
        <v>51</v>
      </c>
      <c r="G461" s="1" t="s">
        <v>34</v>
      </c>
      <c r="H461" s="1" t="s">
        <v>64</v>
      </c>
      <c r="I461" s="1">
        <v>339.06</v>
      </c>
      <c r="J461" s="1">
        <v>3</v>
      </c>
      <c r="K461" s="1">
        <v>15</v>
      </c>
      <c r="L461" s="1" t="s">
        <v>52</v>
      </c>
      <c r="M461" s="1">
        <v>4</v>
      </c>
      <c r="N461" s="1">
        <v>3</v>
      </c>
      <c r="O461" s="1">
        <v>864.60299999999995</v>
      </c>
      <c r="P461" cm="1">
        <f t="array" ref="P461">_xlfn.IFS(O461&gt;=3000,20%,O461&gt;=1000,15%,O461&gt;=500,10%,O461&gt;=200,5%,O461&lt;200,0%)</f>
        <v>0.1</v>
      </c>
      <c r="Q461">
        <f t="shared" si="14"/>
        <v>86.460300000000004</v>
      </c>
      <c r="R461" t="str">
        <f t="shared" si="15"/>
        <v>Medium Risk</v>
      </c>
    </row>
    <row r="462" spans="1:18" x14ac:dyDescent="0.35">
      <c r="A462" s="1" t="s">
        <v>601</v>
      </c>
      <c r="B462" s="2">
        <v>45640</v>
      </c>
      <c r="C462" s="1" t="s">
        <v>59</v>
      </c>
      <c r="D462" s="1">
        <v>26</v>
      </c>
      <c r="E462" s="1" t="s">
        <v>32</v>
      </c>
      <c r="F462" s="1" t="s">
        <v>21</v>
      </c>
      <c r="G462" s="1" t="s">
        <v>47</v>
      </c>
      <c r="H462" s="1" t="s">
        <v>125</v>
      </c>
      <c r="I462" s="1">
        <v>1014.4</v>
      </c>
      <c r="J462" s="1">
        <v>4</v>
      </c>
      <c r="K462" s="1">
        <v>0</v>
      </c>
      <c r="L462" s="1" t="s">
        <v>52</v>
      </c>
      <c r="M462" s="1">
        <v>5</v>
      </c>
      <c r="N462" s="1">
        <v>7</v>
      </c>
      <c r="O462" s="1">
        <v>4057.6</v>
      </c>
      <c r="P462" cm="1">
        <f t="array" ref="P462">_xlfn.IFS(O462&gt;=3000,20%,O462&gt;=1000,15%,O462&gt;=500,10%,O462&gt;=200,5%,O462&lt;200,0%)</f>
        <v>0.2</v>
      </c>
      <c r="Q462">
        <f t="shared" si="14"/>
        <v>811.52</v>
      </c>
      <c r="R462" t="str">
        <f t="shared" si="15"/>
        <v>Low Risk</v>
      </c>
    </row>
    <row r="463" spans="1:18" x14ac:dyDescent="0.35">
      <c r="A463" s="1" t="s">
        <v>602</v>
      </c>
      <c r="B463" s="2">
        <v>45538</v>
      </c>
      <c r="C463" s="1" t="s">
        <v>57</v>
      </c>
      <c r="D463" s="1">
        <v>34</v>
      </c>
      <c r="E463" s="1" t="s">
        <v>20</v>
      </c>
      <c r="F463" s="1" t="s">
        <v>27</v>
      </c>
      <c r="G463" s="1" t="s">
        <v>47</v>
      </c>
      <c r="H463" s="1" t="s">
        <v>23</v>
      </c>
      <c r="I463" s="1">
        <v>389.75</v>
      </c>
      <c r="J463" s="1">
        <v>3</v>
      </c>
      <c r="K463" s="1">
        <v>15</v>
      </c>
      <c r="L463" s="1" t="s">
        <v>24</v>
      </c>
      <c r="M463" s="1">
        <v>2</v>
      </c>
      <c r="N463" s="1">
        <v>2</v>
      </c>
      <c r="O463" s="1">
        <v>993.86249999999995</v>
      </c>
      <c r="P463" cm="1">
        <f t="array" ref="P463">_xlfn.IFS(O463&gt;=3000,20%,O463&gt;=1000,15%,O463&gt;=500,10%,O463&gt;=200,5%,O463&lt;200,0%)</f>
        <v>0.1</v>
      </c>
      <c r="Q463">
        <f t="shared" si="14"/>
        <v>99.386250000000004</v>
      </c>
      <c r="R463" t="str">
        <f t="shared" si="15"/>
        <v>Medium Risk</v>
      </c>
    </row>
    <row r="464" spans="1:18" x14ac:dyDescent="0.35">
      <c r="A464" s="1" t="s">
        <v>603</v>
      </c>
      <c r="B464" s="2">
        <v>45367</v>
      </c>
      <c r="C464" s="1" t="s">
        <v>98</v>
      </c>
      <c r="D464" s="1">
        <v>26</v>
      </c>
      <c r="E464" s="1" t="s">
        <v>32</v>
      </c>
      <c r="F464" s="1" t="s">
        <v>33</v>
      </c>
      <c r="G464" s="1" t="s">
        <v>47</v>
      </c>
      <c r="H464" s="1" t="s">
        <v>28</v>
      </c>
      <c r="I464" s="1">
        <v>950.94</v>
      </c>
      <c r="J464" s="1">
        <v>4</v>
      </c>
      <c r="K464" s="1">
        <v>0</v>
      </c>
      <c r="L464" s="1" t="s">
        <v>43</v>
      </c>
      <c r="M464" s="1">
        <v>4</v>
      </c>
      <c r="N464" s="1">
        <v>6</v>
      </c>
      <c r="O464" s="1">
        <v>3803.76</v>
      </c>
      <c r="P464" cm="1">
        <f t="array" ref="P464">_xlfn.IFS(O464&gt;=3000,20%,O464&gt;=1000,15%,O464&gt;=500,10%,O464&gt;=200,5%,O464&lt;200,0%)</f>
        <v>0.2</v>
      </c>
      <c r="Q464">
        <f t="shared" si="14"/>
        <v>760.75200000000007</v>
      </c>
      <c r="R464" t="str">
        <f t="shared" si="15"/>
        <v>Low Risk</v>
      </c>
    </row>
    <row r="465" spans="1:18" x14ac:dyDescent="0.35">
      <c r="A465" s="1" t="s">
        <v>604</v>
      </c>
      <c r="B465" s="2">
        <v>45445</v>
      </c>
      <c r="C465" s="1" t="s">
        <v>134</v>
      </c>
      <c r="D465" s="1">
        <v>28</v>
      </c>
      <c r="E465" s="1" t="s">
        <v>20</v>
      </c>
      <c r="F465" s="1" t="s">
        <v>27</v>
      </c>
      <c r="G465" s="1" t="s">
        <v>38</v>
      </c>
      <c r="H465" s="1" t="s">
        <v>79</v>
      </c>
      <c r="I465" s="1">
        <v>1072.4100000000001</v>
      </c>
      <c r="J465" s="1">
        <v>3</v>
      </c>
      <c r="K465" s="1">
        <v>0</v>
      </c>
      <c r="L465" s="1" t="s">
        <v>52</v>
      </c>
      <c r="M465" s="1">
        <v>5</v>
      </c>
      <c r="N465" s="1">
        <v>5</v>
      </c>
      <c r="O465" s="1">
        <v>3217.23</v>
      </c>
      <c r="P465" cm="1">
        <f t="array" ref="P465">_xlfn.IFS(O465&gt;=3000,20%,O465&gt;=1000,15%,O465&gt;=500,10%,O465&gt;=200,5%,O465&lt;200,0%)</f>
        <v>0.2</v>
      </c>
      <c r="Q465">
        <f t="shared" si="14"/>
        <v>643.44600000000003</v>
      </c>
      <c r="R465" t="str">
        <f t="shared" si="15"/>
        <v>Low Risk</v>
      </c>
    </row>
    <row r="466" spans="1:18" x14ac:dyDescent="0.35">
      <c r="A466" s="1" t="s">
        <v>605</v>
      </c>
      <c r="B466" s="2">
        <v>45435</v>
      </c>
      <c r="C466" s="1" t="s">
        <v>107</v>
      </c>
      <c r="D466" s="1">
        <v>32</v>
      </c>
      <c r="E466" s="1" t="s">
        <v>20</v>
      </c>
      <c r="F466" s="1" t="s">
        <v>51</v>
      </c>
      <c r="G466" s="1" t="s">
        <v>41</v>
      </c>
      <c r="H466" s="1" t="s">
        <v>35</v>
      </c>
      <c r="I466" s="1">
        <v>531.9</v>
      </c>
      <c r="J466" s="1">
        <v>1</v>
      </c>
      <c r="K466" s="1">
        <v>20</v>
      </c>
      <c r="L466" s="1" t="s">
        <v>52</v>
      </c>
      <c r="M466" s="1">
        <v>2</v>
      </c>
      <c r="N466" s="1">
        <v>1</v>
      </c>
      <c r="O466" s="1">
        <v>425.52</v>
      </c>
      <c r="P466" cm="1">
        <f t="array" ref="P466">_xlfn.IFS(O466&gt;=3000,20%,O466&gt;=1000,15%,O466&gt;=500,10%,O466&gt;=200,5%,O466&lt;200,0%)</f>
        <v>0.05</v>
      </c>
      <c r="Q466">
        <f t="shared" si="14"/>
        <v>21.276</v>
      </c>
      <c r="R466" t="str">
        <f t="shared" si="15"/>
        <v>Medium Risk</v>
      </c>
    </row>
    <row r="467" spans="1:18" x14ac:dyDescent="0.35">
      <c r="A467" s="1" t="s">
        <v>606</v>
      </c>
      <c r="B467" s="2">
        <v>45377</v>
      </c>
      <c r="C467" s="1" t="s">
        <v>93</v>
      </c>
      <c r="D467" s="1">
        <v>41</v>
      </c>
      <c r="E467" s="1" t="s">
        <v>32</v>
      </c>
      <c r="F467" s="1" t="s">
        <v>21</v>
      </c>
      <c r="G467" s="1" t="s">
        <v>47</v>
      </c>
      <c r="H467" s="1" t="s">
        <v>48</v>
      </c>
      <c r="I467" s="1">
        <v>1093.73</v>
      </c>
      <c r="J467" s="1">
        <v>4</v>
      </c>
      <c r="K467" s="1">
        <v>0</v>
      </c>
      <c r="L467" s="1" t="s">
        <v>43</v>
      </c>
      <c r="M467" s="1">
        <v>3</v>
      </c>
      <c r="N467" s="1">
        <v>4</v>
      </c>
      <c r="O467" s="1">
        <v>4374.92</v>
      </c>
      <c r="P467" cm="1">
        <f t="array" ref="P467">_xlfn.IFS(O467&gt;=3000,20%,O467&gt;=1000,15%,O467&gt;=500,10%,O467&gt;=200,5%,O467&lt;200,0%)</f>
        <v>0.2</v>
      </c>
      <c r="Q467">
        <f t="shared" si="14"/>
        <v>874.98400000000004</v>
      </c>
      <c r="R467" t="str">
        <f t="shared" si="15"/>
        <v>Medium Risk</v>
      </c>
    </row>
    <row r="468" spans="1:18" x14ac:dyDescent="0.35">
      <c r="A468" s="1" t="s">
        <v>607</v>
      </c>
      <c r="B468" s="2">
        <v>45476</v>
      </c>
      <c r="C468" s="1" t="s">
        <v>45</v>
      </c>
      <c r="D468" s="1">
        <v>55</v>
      </c>
      <c r="E468" s="1" t="s">
        <v>32</v>
      </c>
      <c r="F468" s="1" t="s">
        <v>46</v>
      </c>
      <c r="G468" s="1" t="s">
        <v>47</v>
      </c>
      <c r="H468" s="1" t="s">
        <v>96</v>
      </c>
      <c r="I468" s="1">
        <v>465.24</v>
      </c>
      <c r="J468" s="1">
        <v>2</v>
      </c>
      <c r="K468" s="1">
        <v>0</v>
      </c>
      <c r="L468" s="1" t="s">
        <v>29</v>
      </c>
      <c r="N468" s="1">
        <v>2</v>
      </c>
      <c r="O468" s="1">
        <v>930.48</v>
      </c>
      <c r="P468" cm="1">
        <f t="array" ref="P468">_xlfn.IFS(O468&gt;=3000,20%,O468&gt;=1000,15%,O468&gt;=500,10%,O468&gt;=200,5%,O468&lt;200,0%)</f>
        <v>0.1</v>
      </c>
      <c r="Q468">
        <f t="shared" si="14"/>
        <v>93.048000000000002</v>
      </c>
      <c r="R468" t="str">
        <f t="shared" si="15"/>
        <v>Missing Data</v>
      </c>
    </row>
    <row r="469" spans="1:18" x14ac:dyDescent="0.35">
      <c r="A469" s="1" t="s">
        <v>608</v>
      </c>
      <c r="B469" s="2">
        <v>45576</v>
      </c>
      <c r="C469" s="1" t="s">
        <v>130</v>
      </c>
      <c r="D469" s="1">
        <v>52</v>
      </c>
      <c r="E469" s="1" t="s">
        <v>20</v>
      </c>
      <c r="F469" s="1" t="s">
        <v>21</v>
      </c>
      <c r="G469" s="1" t="s">
        <v>38</v>
      </c>
      <c r="H469" s="1" t="s">
        <v>42</v>
      </c>
      <c r="I469" s="1">
        <v>1157.6099999999999</v>
      </c>
      <c r="J469" s="1">
        <v>1</v>
      </c>
      <c r="K469" s="1">
        <v>10</v>
      </c>
      <c r="L469" s="1" t="s">
        <v>52</v>
      </c>
      <c r="M469" s="1">
        <v>3</v>
      </c>
      <c r="N469" s="1">
        <v>4</v>
      </c>
      <c r="O469" s="1">
        <v>1041.8489999999999</v>
      </c>
      <c r="P469" cm="1">
        <f t="array" ref="P469">_xlfn.IFS(O469&gt;=3000,20%,O469&gt;=1000,15%,O469&gt;=500,10%,O469&gt;=200,5%,O469&lt;200,0%)</f>
        <v>0.15</v>
      </c>
      <c r="Q469">
        <f t="shared" si="14"/>
        <v>156.27734999999998</v>
      </c>
      <c r="R469" t="str">
        <f t="shared" si="15"/>
        <v>Medium Risk</v>
      </c>
    </row>
    <row r="470" spans="1:18" x14ac:dyDescent="0.35">
      <c r="A470" s="1" t="s">
        <v>609</v>
      </c>
      <c r="B470" s="2">
        <v>45511</v>
      </c>
      <c r="C470" s="1" t="s">
        <v>174</v>
      </c>
      <c r="D470" s="1">
        <v>47</v>
      </c>
      <c r="E470" s="1" t="s">
        <v>20</v>
      </c>
      <c r="F470" s="1" t="s">
        <v>51</v>
      </c>
      <c r="G470" s="1" t="s">
        <v>38</v>
      </c>
      <c r="H470" s="1" t="s">
        <v>125</v>
      </c>
      <c r="I470" s="1">
        <v>125.36</v>
      </c>
      <c r="J470" s="1">
        <v>4</v>
      </c>
      <c r="K470" s="1">
        <v>15</v>
      </c>
      <c r="L470" s="1" t="s">
        <v>24</v>
      </c>
      <c r="M470" s="1">
        <v>1</v>
      </c>
      <c r="N470" s="1">
        <v>1</v>
      </c>
      <c r="O470" s="1">
        <v>426.22399999999999</v>
      </c>
      <c r="P470" cm="1">
        <f t="array" ref="P470">_xlfn.IFS(O470&gt;=3000,20%,O470&gt;=1000,15%,O470&gt;=500,10%,O470&gt;=200,5%,O470&lt;200,0%)</f>
        <v>0.05</v>
      </c>
      <c r="Q470">
        <f t="shared" si="14"/>
        <v>21.311199999999999</v>
      </c>
      <c r="R470" t="str">
        <f t="shared" si="15"/>
        <v>High Risk</v>
      </c>
    </row>
    <row r="471" spans="1:18" x14ac:dyDescent="0.35">
      <c r="A471" s="1" t="s">
        <v>610</v>
      </c>
      <c r="B471" s="2">
        <v>45360</v>
      </c>
      <c r="C471" s="1" t="s">
        <v>31</v>
      </c>
      <c r="D471" s="1">
        <v>48</v>
      </c>
      <c r="E471" s="1" t="s">
        <v>20</v>
      </c>
      <c r="F471" s="1" t="s">
        <v>21</v>
      </c>
      <c r="G471" s="1" t="s">
        <v>47</v>
      </c>
      <c r="H471" s="1" t="s">
        <v>48</v>
      </c>
      <c r="I471" s="1">
        <v>830.68</v>
      </c>
      <c r="J471" s="1">
        <v>4</v>
      </c>
      <c r="K471" s="1">
        <v>10</v>
      </c>
      <c r="L471" s="1" t="s">
        <v>52</v>
      </c>
      <c r="M471" s="1">
        <v>5</v>
      </c>
      <c r="N471" s="1">
        <v>2</v>
      </c>
      <c r="O471" s="1">
        <v>2990.4479999999999</v>
      </c>
      <c r="P471" cm="1">
        <f t="array" ref="P471">_xlfn.IFS(O471&gt;=3000,20%,O471&gt;=1000,15%,O471&gt;=500,10%,O471&gt;=200,5%,O471&lt;200,0%)</f>
        <v>0.15</v>
      </c>
      <c r="Q471">
        <f t="shared" si="14"/>
        <v>448.56719999999996</v>
      </c>
      <c r="R471" t="str">
        <f t="shared" si="15"/>
        <v>Low Risk</v>
      </c>
    </row>
    <row r="472" spans="1:18" x14ac:dyDescent="0.35">
      <c r="A472" s="1" t="s">
        <v>611</v>
      </c>
      <c r="B472" s="2">
        <v>45338</v>
      </c>
      <c r="C472" s="1" t="s">
        <v>612</v>
      </c>
      <c r="D472" s="1">
        <v>22</v>
      </c>
      <c r="E472" s="1" t="s">
        <v>32</v>
      </c>
      <c r="F472" s="1" t="s">
        <v>21</v>
      </c>
      <c r="G472" s="1" t="s">
        <v>22</v>
      </c>
      <c r="H472" s="1" t="s">
        <v>125</v>
      </c>
      <c r="I472" s="1">
        <v>602.70000000000005</v>
      </c>
      <c r="J472" s="1">
        <v>2</v>
      </c>
      <c r="K472" s="1">
        <v>0</v>
      </c>
      <c r="L472" s="1" t="s">
        <v>24</v>
      </c>
      <c r="M472" s="1">
        <v>2</v>
      </c>
      <c r="N472" s="1">
        <v>8</v>
      </c>
      <c r="O472" s="1">
        <v>1205.4000000000001</v>
      </c>
      <c r="P472" cm="1">
        <f t="array" ref="P472">_xlfn.IFS(O472&gt;=3000,20%,O472&gt;=1000,15%,O472&gt;=500,10%,O472&gt;=200,5%,O472&lt;200,0%)</f>
        <v>0.15</v>
      </c>
      <c r="Q472">
        <f t="shared" si="14"/>
        <v>180.81</v>
      </c>
      <c r="R472" t="str">
        <f t="shared" si="15"/>
        <v>Medium Risk</v>
      </c>
    </row>
    <row r="473" spans="1:18" x14ac:dyDescent="0.35">
      <c r="A473" s="1" t="s">
        <v>613</v>
      </c>
      <c r="B473" s="2">
        <v>45385</v>
      </c>
      <c r="C473" s="1" t="s">
        <v>116</v>
      </c>
      <c r="D473" s="1">
        <v>31</v>
      </c>
      <c r="E473" s="1" t="s">
        <v>20</v>
      </c>
      <c r="F473" s="1" t="s">
        <v>51</v>
      </c>
      <c r="G473" s="1" t="s">
        <v>47</v>
      </c>
      <c r="H473" s="1" t="s">
        <v>64</v>
      </c>
      <c r="I473" s="1">
        <v>477.43</v>
      </c>
      <c r="J473" s="1">
        <v>4</v>
      </c>
      <c r="K473" s="1">
        <v>20</v>
      </c>
      <c r="L473" s="1" t="s">
        <v>24</v>
      </c>
      <c r="M473" s="1">
        <v>4</v>
      </c>
      <c r="N473" s="1">
        <v>6</v>
      </c>
      <c r="O473" s="1">
        <v>1527.7760000000001</v>
      </c>
      <c r="P473" cm="1">
        <f t="array" ref="P473">_xlfn.IFS(O473&gt;=3000,20%,O473&gt;=1000,15%,O473&gt;=500,10%,O473&gt;=200,5%,O473&lt;200,0%)</f>
        <v>0.15</v>
      </c>
      <c r="Q473">
        <f t="shared" si="14"/>
        <v>229.16640000000001</v>
      </c>
      <c r="R473" t="str">
        <f t="shared" si="15"/>
        <v>Medium Risk</v>
      </c>
    </row>
    <row r="474" spans="1:18" x14ac:dyDescent="0.35">
      <c r="A474" s="1" t="s">
        <v>614</v>
      </c>
      <c r="B474" s="2">
        <v>45529</v>
      </c>
      <c r="C474" s="1" t="s">
        <v>85</v>
      </c>
      <c r="D474" s="1">
        <v>28</v>
      </c>
      <c r="E474" s="1" t="s">
        <v>32</v>
      </c>
      <c r="F474" s="1" t="s">
        <v>21</v>
      </c>
      <c r="G474" s="1" t="s">
        <v>47</v>
      </c>
      <c r="H474" s="1" t="s">
        <v>28</v>
      </c>
      <c r="I474" s="1">
        <v>766.6</v>
      </c>
      <c r="J474" s="1">
        <v>3</v>
      </c>
      <c r="K474" s="1">
        <v>10</v>
      </c>
      <c r="L474" s="1" t="s">
        <v>52</v>
      </c>
      <c r="M474" s="1">
        <v>3</v>
      </c>
      <c r="N474" s="1">
        <v>2</v>
      </c>
      <c r="O474" s="1">
        <v>2069.8200000000002</v>
      </c>
      <c r="P474" cm="1">
        <f t="array" ref="P474">_xlfn.IFS(O474&gt;=3000,20%,O474&gt;=1000,15%,O474&gt;=500,10%,O474&gt;=200,5%,O474&lt;200,0%)</f>
        <v>0.15</v>
      </c>
      <c r="Q474">
        <f t="shared" si="14"/>
        <v>310.47300000000001</v>
      </c>
      <c r="R474" t="str">
        <f t="shared" si="15"/>
        <v>Medium Risk</v>
      </c>
    </row>
    <row r="475" spans="1:18" x14ac:dyDescent="0.35">
      <c r="A475" s="1" t="s">
        <v>615</v>
      </c>
      <c r="B475" s="2">
        <v>45495</v>
      </c>
      <c r="C475" s="1" t="s">
        <v>40</v>
      </c>
      <c r="D475" s="1">
        <v>26</v>
      </c>
      <c r="E475" s="1" t="s">
        <v>20</v>
      </c>
      <c r="F475" s="1" t="s">
        <v>33</v>
      </c>
      <c r="G475" s="1" t="s">
        <v>38</v>
      </c>
      <c r="H475" s="1" t="s">
        <v>35</v>
      </c>
      <c r="I475" s="1">
        <v>850.55</v>
      </c>
      <c r="J475" s="1">
        <v>2</v>
      </c>
      <c r="K475" s="1">
        <v>10</v>
      </c>
      <c r="L475" s="1" t="s">
        <v>52</v>
      </c>
      <c r="M475" s="1">
        <v>2</v>
      </c>
      <c r="N475" s="1">
        <v>6</v>
      </c>
      <c r="O475" s="1">
        <v>1530.99</v>
      </c>
      <c r="P475" cm="1">
        <f t="array" ref="P475">_xlfn.IFS(O475&gt;=3000,20%,O475&gt;=1000,15%,O475&gt;=500,10%,O475&gt;=200,5%,O475&lt;200,0%)</f>
        <v>0.15</v>
      </c>
      <c r="Q475">
        <f t="shared" si="14"/>
        <v>229.64849999999998</v>
      </c>
      <c r="R475" t="str">
        <f t="shared" si="15"/>
        <v>Medium Risk</v>
      </c>
    </row>
    <row r="476" spans="1:18" x14ac:dyDescent="0.35">
      <c r="A476" s="1" t="s">
        <v>616</v>
      </c>
      <c r="B476" s="2">
        <v>45509</v>
      </c>
      <c r="C476" s="1" t="s">
        <v>85</v>
      </c>
      <c r="D476" s="1">
        <v>51</v>
      </c>
      <c r="E476" s="1" t="s">
        <v>20</v>
      </c>
      <c r="F476" s="1" t="s">
        <v>33</v>
      </c>
      <c r="G476" s="1" t="s">
        <v>38</v>
      </c>
      <c r="H476" s="1" t="s">
        <v>96</v>
      </c>
      <c r="I476" s="1">
        <v>25.15</v>
      </c>
      <c r="J476" s="1">
        <v>1</v>
      </c>
      <c r="K476" s="1">
        <v>5</v>
      </c>
      <c r="L476" s="1" t="s">
        <v>24</v>
      </c>
      <c r="M476" s="1">
        <v>5</v>
      </c>
      <c r="N476" s="1">
        <v>9</v>
      </c>
      <c r="O476" s="1">
        <v>23.892499999999998</v>
      </c>
      <c r="P476" cm="1">
        <f t="array" ref="P476">_xlfn.IFS(O476&gt;=3000,20%,O476&gt;=1000,15%,O476&gt;=500,10%,O476&gt;=200,5%,O476&lt;200,0%)</f>
        <v>0</v>
      </c>
      <c r="Q476">
        <f t="shared" si="14"/>
        <v>0</v>
      </c>
      <c r="R476" t="str">
        <f t="shared" si="15"/>
        <v>Low Risk</v>
      </c>
    </row>
    <row r="477" spans="1:18" x14ac:dyDescent="0.35">
      <c r="A477" s="1" t="s">
        <v>617</v>
      </c>
      <c r="B477" s="2">
        <v>45632</v>
      </c>
      <c r="C477" s="1" t="s">
        <v>456</v>
      </c>
      <c r="D477" s="1">
        <v>29</v>
      </c>
      <c r="E477" s="1" t="s">
        <v>32</v>
      </c>
      <c r="F477" s="1" t="s">
        <v>21</v>
      </c>
      <c r="G477" s="1" t="s">
        <v>47</v>
      </c>
      <c r="H477" s="1" t="s">
        <v>48</v>
      </c>
      <c r="I477" s="1">
        <v>217</v>
      </c>
      <c r="J477" s="1">
        <v>1</v>
      </c>
      <c r="K477" s="1">
        <v>0</v>
      </c>
      <c r="L477" s="1" t="s">
        <v>43</v>
      </c>
      <c r="M477" s="1">
        <v>1</v>
      </c>
      <c r="N477" s="1">
        <v>7</v>
      </c>
      <c r="O477" s="1">
        <v>217</v>
      </c>
      <c r="P477" cm="1">
        <f t="array" ref="P477">_xlfn.IFS(O477&gt;=3000,20%,O477&gt;=1000,15%,O477&gt;=500,10%,O477&gt;=200,5%,O477&lt;200,0%)</f>
        <v>0.05</v>
      </c>
      <c r="Q477">
        <f t="shared" si="14"/>
        <v>10.850000000000001</v>
      </c>
      <c r="R477" t="str">
        <f t="shared" si="15"/>
        <v>High Risk</v>
      </c>
    </row>
    <row r="478" spans="1:18" x14ac:dyDescent="0.35">
      <c r="A478" s="1" t="s">
        <v>618</v>
      </c>
      <c r="B478" s="2">
        <v>45330</v>
      </c>
      <c r="C478" s="1" t="s">
        <v>352</v>
      </c>
      <c r="D478" s="1">
        <v>52</v>
      </c>
      <c r="E478" s="1" t="s">
        <v>20</v>
      </c>
      <c r="F478" s="1" t="s">
        <v>46</v>
      </c>
      <c r="G478" s="1" t="s">
        <v>47</v>
      </c>
      <c r="H478" s="1" t="s">
        <v>125</v>
      </c>
      <c r="I478" s="1">
        <v>861.39</v>
      </c>
      <c r="J478" s="1">
        <v>3</v>
      </c>
      <c r="K478" s="1">
        <v>20</v>
      </c>
      <c r="L478" s="1" t="s">
        <v>43</v>
      </c>
      <c r="M478" s="1">
        <v>3</v>
      </c>
      <c r="N478" s="1">
        <v>9</v>
      </c>
      <c r="O478" s="1">
        <v>2067.3359999999998</v>
      </c>
      <c r="P478" cm="1">
        <f t="array" ref="P478">_xlfn.IFS(O478&gt;=3000,20%,O478&gt;=1000,15%,O478&gt;=500,10%,O478&gt;=200,5%,O478&lt;200,0%)</f>
        <v>0.15</v>
      </c>
      <c r="Q478">
        <f t="shared" si="14"/>
        <v>310.10039999999998</v>
      </c>
      <c r="R478" t="str">
        <f t="shared" si="15"/>
        <v>Medium Risk</v>
      </c>
    </row>
    <row r="479" spans="1:18" x14ac:dyDescent="0.35">
      <c r="A479" s="1" t="s">
        <v>619</v>
      </c>
      <c r="B479" s="2">
        <v>45391</v>
      </c>
      <c r="C479" s="1" t="s">
        <v>291</v>
      </c>
      <c r="D479" s="1">
        <v>52</v>
      </c>
      <c r="E479" s="1" t="s">
        <v>32</v>
      </c>
      <c r="F479" s="1" t="s">
        <v>51</v>
      </c>
      <c r="G479" s="1" t="s">
        <v>47</v>
      </c>
      <c r="H479" s="1" t="s">
        <v>23</v>
      </c>
      <c r="I479" s="1">
        <v>806.33</v>
      </c>
      <c r="J479" s="1">
        <v>1</v>
      </c>
      <c r="K479" s="1">
        <v>10</v>
      </c>
      <c r="L479" s="1" t="s">
        <v>52</v>
      </c>
      <c r="N479" s="1">
        <v>5</v>
      </c>
      <c r="O479" s="1">
        <v>725.697</v>
      </c>
      <c r="P479" cm="1">
        <f t="array" ref="P479">_xlfn.IFS(O479&gt;=3000,20%,O479&gt;=1000,15%,O479&gt;=500,10%,O479&gt;=200,5%,O479&lt;200,0%)</f>
        <v>0.1</v>
      </c>
      <c r="Q479">
        <f t="shared" si="14"/>
        <v>72.569699999999997</v>
      </c>
      <c r="R479" t="str">
        <f t="shared" si="15"/>
        <v>Missing Data</v>
      </c>
    </row>
    <row r="480" spans="1:18" x14ac:dyDescent="0.35">
      <c r="A480" s="1" t="s">
        <v>620</v>
      </c>
      <c r="B480" s="2">
        <v>45580</v>
      </c>
      <c r="C480" s="1" t="s">
        <v>167</v>
      </c>
      <c r="D480" s="1">
        <v>18</v>
      </c>
      <c r="E480" s="1" t="s">
        <v>32</v>
      </c>
      <c r="F480" s="1" t="s">
        <v>33</v>
      </c>
      <c r="G480" s="1" t="s">
        <v>38</v>
      </c>
      <c r="H480" s="1" t="s">
        <v>64</v>
      </c>
      <c r="I480" s="1">
        <v>1159.94</v>
      </c>
      <c r="J480" s="1">
        <v>4</v>
      </c>
      <c r="K480" s="1">
        <v>10</v>
      </c>
      <c r="L480" s="1" t="s">
        <v>29</v>
      </c>
      <c r="M480" s="1">
        <v>2</v>
      </c>
      <c r="N480" s="1">
        <v>7</v>
      </c>
      <c r="O480" s="1">
        <v>4175.7839999999997</v>
      </c>
      <c r="P480" cm="1">
        <f t="array" ref="P480">_xlfn.IFS(O480&gt;=3000,20%,O480&gt;=1000,15%,O480&gt;=500,10%,O480&gt;=200,5%,O480&lt;200,0%)</f>
        <v>0.2</v>
      </c>
      <c r="Q480">
        <f t="shared" si="14"/>
        <v>835.15679999999998</v>
      </c>
      <c r="R480" t="str">
        <f t="shared" si="15"/>
        <v>Medium Risk</v>
      </c>
    </row>
    <row r="481" spans="1:18" x14ac:dyDescent="0.35">
      <c r="A481" s="1" t="s">
        <v>621</v>
      </c>
      <c r="B481" s="2">
        <v>45545</v>
      </c>
      <c r="C481" s="1" t="s">
        <v>130</v>
      </c>
      <c r="D481" s="1">
        <v>57</v>
      </c>
      <c r="E481" s="1" t="s">
        <v>20</v>
      </c>
      <c r="F481" s="1" t="s">
        <v>46</v>
      </c>
      <c r="G481" s="1" t="s">
        <v>47</v>
      </c>
      <c r="H481" s="1" t="s">
        <v>23</v>
      </c>
      <c r="I481" s="1">
        <v>918.02</v>
      </c>
      <c r="J481" s="1">
        <v>4</v>
      </c>
      <c r="K481" s="1">
        <v>20</v>
      </c>
      <c r="L481" s="1" t="s">
        <v>43</v>
      </c>
      <c r="N481" s="1">
        <v>7</v>
      </c>
      <c r="O481" s="1">
        <v>2937.6640000000002</v>
      </c>
      <c r="P481" cm="1">
        <f t="array" ref="P481">_xlfn.IFS(O481&gt;=3000,20%,O481&gt;=1000,15%,O481&gt;=500,10%,O481&gt;=200,5%,O481&lt;200,0%)</f>
        <v>0.15</v>
      </c>
      <c r="Q481">
        <f t="shared" si="14"/>
        <v>440.64960000000002</v>
      </c>
      <c r="R481" t="str">
        <f t="shared" si="15"/>
        <v>Missing Data</v>
      </c>
    </row>
    <row r="482" spans="1:18" x14ac:dyDescent="0.35">
      <c r="A482" s="1" t="s">
        <v>622</v>
      </c>
      <c r="B482" s="2">
        <v>45513</v>
      </c>
      <c r="C482" s="1" t="s">
        <v>107</v>
      </c>
      <c r="D482" s="1">
        <v>39</v>
      </c>
      <c r="E482" s="1" t="s">
        <v>32</v>
      </c>
      <c r="F482" s="1" t="s">
        <v>21</v>
      </c>
      <c r="G482" s="1" t="s">
        <v>47</v>
      </c>
      <c r="H482" s="1" t="s">
        <v>96</v>
      </c>
      <c r="I482" s="1">
        <v>1141.9100000000001</v>
      </c>
      <c r="J482" s="1">
        <v>3</v>
      </c>
      <c r="K482" s="1">
        <v>0</v>
      </c>
      <c r="L482" s="1" t="s">
        <v>52</v>
      </c>
      <c r="M482" s="1">
        <v>2</v>
      </c>
      <c r="N482" s="1">
        <v>3</v>
      </c>
      <c r="O482" s="1">
        <v>3425.73</v>
      </c>
      <c r="P482" cm="1">
        <f t="array" ref="P482">_xlfn.IFS(O482&gt;=3000,20%,O482&gt;=1000,15%,O482&gt;=500,10%,O482&gt;=200,5%,O482&lt;200,0%)</f>
        <v>0.2</v>
      </c>
      <c r="Q482">
        <f t="shared" si="14"/>
        <v>685.14600000000007</v>
      </c>
      <c r="R482" t="str">
        <f t="shared" si="15"/>
        <v>Medium Risk</v>
      </c>
    </row>
    <row r="483" spans="1:18" x14ac:dyDescent="0.35">
      <c r="A483" s="1" t="s">
        <v>623</v>
      </c>
      <c r="B483" s="2">
        <v>45648</v>
      </c>
      <c r="C483" s="1" t="s">
        <v>213</v>
      </c>
      <c r="D483" s="1">
        <v>46</v>
      </c>
      <c r="E483" s="1" t="s">
        <v>32</v>
      </c>
      <c r="F483" s="1" t="s">
        <v>46</v>
      </c>
      <c r="G483" s="1" t="s">
        <v>34</v>
      </c>
      <c r="H483" s="1" t="s">
        <v>48</v>
      </c>
      <c r="I483" s="1">
        <v>849</v>
      </c>
      <c r="J483" s="1">
        <v>1</v>
      </c>
      <c r="K483" s="1">
        <v>5</v>
      </c>
      <c r="L483" s="1" t="s">
        <v>43</v>
      </c>
      <c r="M483" s="1">
        <v>2</v>
      </c>
      <c r="N483" s="1">
        <v>7</v>
      </c>
      <c r="O483" s="1">
        <v>806.55</v>
      </c>
      <c r="P483" cm="1">
        <f t="array" ref="P483">_xlfn.IFS(O483&gt;=3000,20%,O483&gt;=1000,15%,O483&gt;=500,10%,O483&gt;=200,5%,O483&lt;200,0%)</f>
        <v>0.1</v>
      </c>
      <c r="Q483">
        <f t="shared" si="14"/>
        <v>80.655000000000001</v>
      </c>
      <c r="R483" t="str">
        <f t="shared" si="15"/>
        <v>Medium Risk</v>
      </c>
    </row>
    <row r="484" spans="1:18" x14ac:dyDescent="0.35">
      <c r="A484" s="1" t="s">
        <v>624</v>
      </c>
      <c r="B484" s="2">
        <v>45314</v>
      </c>
      <c r="C484" s="1" t="s">
        <v>169</v>
      </c>
      <c r="D484" s="1">
        <v>25</v>
      </c>
      <c r="E484" s="1" t="s">
        <v>20</v>
      </c>
      <c r="F484" s="1" t="s">
        <v>27</v>
      </c>
      <c r="G484" s="1" t="s">
        <v>22</v>
      </c>
      <c r="H484" s="1" t="s">
        <v>64</v>
      </c>
      <c r="I484" s="1">
        <v>371.7</v>
      </c>
      <c r="J484" s="1">
        <v>1</v>
      </c>
      <c r="K484" s="1">
        <v>10</v>
      </c>
      <c r="L484" s="1" t="s">
        <v>29</v>
      </c>
      <c r="M484" s="1">
        <v>5</v>
      </c>
      <c r="N484" s="1">
        <v>1</v>
      </c>
      <c r="O484" s="1">
        <v>334.53</v>
      </c>
      <c r="P484" cm="1">
        <f t="array" ref="P484">_xlfn.IFS(O484&gt;=3000,20%,O484&gt;=1000,15%,O484&gt;=500,10%,O484&gt;=200,5%,O484&lt;200,0%)</f>
        <v>0.05</v>
      </c>
      <c r="Q484">
        <f t="shared" si="14"/>
        <v>16.726499999999998</v>
      </c>
      <c r="R484" t="str">
        <f t="shared" si="15"/>
        <v>Low Risk</v>
      </c>
    </row>
    <row r="485" spans="1:18" x14ac:dyDescent="0.35">
      <c r="A485" s="1" t="s">
        <v>625</v>
      </c>
      <c r="B485" s="2">
        <v>45541</v>
      </c>
      <c r="C485" s="1" t="s">
        <v>37</v>
      </c>
      <c r="D485" s="1">
        <v>28</v>
      </c>
      <c r="E485" s="1" t="s">
        <v>32</v>
      </c>
      <c r="F485" s="1" t="s">
        <v>33</v>
      </c>
      <c r="G485" s="1" t="s">
        <v>41</v>
      </c>
      <c r="H485" s="1" t="s">
        <v>48</v>
      </c>
      <c r="I485" s="1">
        <v>144.33000000000001</v>
      </c>
      <c r="J485" s="1">
        <v>3</v>
      </c>
      <c r="K485" s="1">
        <v>5</v>
      </c>
      <c r="L485" s="1" t="s">
        <v>52</v>
      </c>
      <c r="M485" s="1">
        <v>5</v>
      </c>
      <c r="N485" s="1">
        <v>9</v>
      </c>
      <c r="O485" s="1">
        <v>411.34050000000002</v>
      </c>
      <c r="P485" cm="1">
        <f t="array" ref="P485">_xlfn.IFS(O485&gt;=3000,20%,O485&gt;=1000,15%,O485&gt;=500,10%,O485&gt;=200,5%,O485&lt;200,0%)</f>
        <v>0.05</v>
      </c>
      <c r="Q485">
        <f t="shared" si="14"/>
        <v>20.567025000000001</v>
      </c>
      <c r="R485" t="str">
        <f t="shared" si="15"/>
        <v>Low Risk</v>
      </c>
    </row>
    <row r="486" spans="1:18" x14ac:dyDescent="0.35">
      <c r="A486" s="1" t="s">
        <v>626</v>
      </c>
      <c r="B486" s="2">
        <v>45301</v>
      </c>
      <c r="C486" s="1" t="s">
        <v>291</v>
      </c>
      <c r="D486" s="1">
        <v>58</v>
      </c>
      <c r="E486" s="1" t="s">
        <v>32</v>
      </c>
      <c r="F486" s="1" t="s">
        <v>21</v>
      </c>
      <c r="G486" s="1" t="s">
        <v>22</v>
      </c>
      <c r="H486" s="1" t="s">
        <v>35</v>
      </c>
      <c r="I486" s="1">
        <v>942.55</v>
      </c>
      <c r="J486" s="1">
        <v>2</v>
      </c>
      <c r="K486" s="1">
        <v>15</v>
      </c>
      <c r="L486" s="1" t="s">
        <v>29</v>
      </c>
      <c r="M486" s="1">
        <v>5</v>
      </c>
      <c r="N486" s="1">
        <v>6</v>
      </c>
      <c r="O486" s="1">
        <v>1602.335</v>
      </c>
      <c r="P486" cm="1">
        <f t="array" ref="P486">_xlfn.IFS(O486&gt;=3000,20%,O486&gt;=1000,15%,O486&gt;=500,10%,O486&gt;=200,5%,O486&lt;200,0%)</f>
        <v>0.15</v>
      </c>
      <c r="Q486">
        <f t="shared" si="14"/>
        <v>240.35024999999999</v>
      </c>
      <c r="R486" t="str">
        <f t="shared" si="15"/>
        <v>Medium Risk</v>
      </c>
    </row>
    <row r="487" spans="1:18" x14ac:dyDescent="0.35">
      <c r="A487" s="1" t="s">
        <v>627</v>
      </c>
      <c r="B487" s="2">
        <v>45537</v>
      </c>
      <c r="C487" s="1" t="s">
        <v>178</v>
      </c>
      <c r="D487" s="1">
        <v>54</v>
      </c>
      <c r="E487" s="1" t="s">
        <v>32</v>
      </c>
      <c r="F487" s="1" t="s">
        <v>51</v>
      </c>
      <c r="G487" s="1" t="s">
        <v>34</v>
      </c>
      <c r="H487" s="1" t="s">
        <v>55</v>
      </c>
      <c r="I487" s="1">
        <v>780.1</v>
      </c>
      <c r="J487" s="1">
        <v>1</v>
      </c>
      <c r="K487" s="1">
        <v>0</v>
      </c>
      <c r="L487" s="1" t="s">
        <v>52</v>
      </c>
      <c r="M487" s="1">
        <v>4</v>
      </c>
      <c r="N487" s="1">
        <v>5</v>
      </c>
      <c r="O487" s="1">
        <v>780.1</v>
      </c>
      <c r="P487" cm="1">
        <f t="array" ref="P487">_xlfn.IFS(O487&gt;=3000,20%,O487&gt;=1000,15%,O487&gt;=500,10%,O487&gt;=200,5%,O487&lt;200,0%)</f>
        <v>0.1</v>
      </c>
      <c r="Q487">
        <f t="shared" si="14"/>
        <v>78.010000000000005</v>
      </c>
      <c r="R487" t="str">
        <f t="shared" si="15"/>
        <v>Low Risk</v>
      </c>
    </row>
    <row r="488" spans="1:18" x14ac:dyDescent="0.35">
      <c r="A488" s="1" t="s">
        <v>628</v>
      </c>
      <c r="B488" s="2">
        <v>45616</v>
      </c>
      <c r="C488" s="1" t="s">
        <v>116</v>
      </c>
      <c r="D488" s="1">
        <v>31</v>
      </c>
      <c r="E488" s="1" t="s">
        <v>20</v>
      </c>
      <c r="F488" s="1" t="s">
        <v>21</v>
      </c>
      <c r="G488" s="1" t="s">
        <v>41</v>
      </c>
      <c r="H488" s="1" t="s">
        <v>64</v>
      </c>
      <c r="I488" s="1">
        <v>76.86</v>
      </c>
      <c r="J488" s="1">
        <v>2</v>
      </c>
      <c r="K488" s="1">
        <v>15</v>
      </c>
      <c r="L488" s="1" t="s">
        <v>29</v>
      </c>
      <c r="M488" s="1">
        <v>2</v>
      </c>
      <c r="N488" s="1">
        <v>7</v>
      </c>
      <c r="O488" s="1">
        <v>130.66200000000001</v>
      </c>
      <c r="P488" cm="1">
        <f t="array" ref="P488">_xlfn.IFS(O488&gt;=3000,20%,O488&gt;=1000,15%,O488&gt;=500,10%,O488&gt;=200,5%,O488&lt;200,0%)</f>
        <v>0</v>
      </c>
      <c r="Q488">
        <f t="shared" si="14"/>
        <v>0</v>
      </c>
      <c r="R488" t="str">
        <f t="shared" si="15"/>
        <v>Medium Risk</v>
      </c>
    </row>
    <row r="489" spans="1:18" x14ac:dyDescent="0.35">
      <c r="A489" s="1" t="s">
        <v>629</v>
      </c>
      <c r="B489" s="2">
        <v>45391</v>
      </c>
      <c r="C489" s="1" t="s">
        <v>85</v>
      </c>
      <c r="D489" s="1">
        <v>47</v>
      </c>
      <c r="E489" s="1" t="s">
        <v>32</v>
      </c>
      <c r="F489" s="1" t="s">
        <v>51</v>
      </c>
      <c r="G489" s="1" t="s">
        <v>47</v>
      </c>
      <c r="H489" s="1" t="s">
        <v>23</v>
      </c>
      <c r="I489" s="1">
        <v>444.86</v>
      </c>
      <c r="J489" s="1">
        <v>1</v>
      </c>
      <c r="K489" s="1">
        <v>15</v>
      </c>
      <c r="L489" s="1" t="s">
        <v>43</v>
      </c>
      <c r="M489" s="1">
        <v>3</v>
      </c>
      <c r="N489" s="1">
        <v>5</v>
      </c>
      <c r="O489" s="1">
        <v>378.13099999999997</v>
      </c>
      <c r="P489" cm="1">
        <f t="array" ref="P489">_xlfn.IFS(O489&gt;=3000,20%,O489&gt;=1000,15%,O489&gt;=500,10%,O489&gt;=200,5%,O489&lt;200,0%)</f>
        <v>0.05</v>
      </c>
      <c r="Q489">
        <f t="shared" si="14"/>
        <v>18.906549999999999</v>
      </c>
      <c r="R489" t="str">
        <f t="shared" si="15"/>
        <v>Medium Risk</v>
      </c>
    </row>
    <row r="490" spans="1:18" x14ac:dyDescent="0.35">
      <c r="A490" s="1" t="s">
        <v>630</v>
      </c>
      <c r="B490" s="2">
        <v>45581</v>
      </c>
      <c r="C490" s="1" t="s">
        <v>225</v>
      </c>
      <c r="D490" s="1">
        <v>52</v>
      </c>
      <c r="E490" s="1" t="s">
        <v>20</v>
      </c>
      <c r="F490" s="1" t="s">
        <v>21</v>
      </c>
      <c r="G490" s="1" t="s">
        <v>34</v>
      </c>
      <c r="H490" s="1" t="s">
        <v>96</v>
      </c>
      <c r="I490" s="1">
        <v>1149.02</v>
      </c>
      <c r="J490" s="1">
        <v>1</v>
      </c>
      <c r="K490" s="1">
        <v>15</v>
      </c>
      <c r="L490" s="1" t="s">
        <v>43</v>
      </c>
      <c r="N490" s="1">
        <v>5</v>
      </c>
      <c r="O490" s="1">
        <v>976.66700000000003</v>
      </c>
      <c r="P490" cm="1">
        <f t="array" ref="P490">_xlfn.IFS(O490&gt;=3000,20%,O490&gt;=1000,15%,O490&gt;=500,10%,O490&gt;=200,5%,O490&lt;200,0%)</f>
        <v>0.1</v>
      </c>
      <c r="Q490">
        <f t="shared" si="14"/>
        <v>97.666700000000006</v>
      </c>
      <c r="R490" t="str">
        <f t="shared" si="15"/>
        <v>Missing Data</v>
      </c>
    </row>
    <row r="491" spans="1:18" x14ac:dyDescent="0.35">
      <c r="A491" s="1" t="s">
        <v>631</v>
      </c>
      <c r="B491" s="2">
        <v>45471</v>
      </c>
      <c r="C491" s="1" t="s">
        <v>158</v>
      </c>
      <c r="D491" s="1">
        <v>38</v>
      </c>
      <c r="E491" s="1" t="s">
        <v>20</v>
      </c>
      <c r="F491" s="1" t="s">
        <v>46</v>
      </c>
      <c r="G491" s="1" t="s">
        <v>47</v>
      </c>
      <c r="H491" s="1" t="s">
        <v>28</v>
      </c>
      <c r="I491" s="1">
        <v>610.47</v>
      </c>
      <c r="J491" s="1">
        <v>1</v>
      </c>
      <c r="K491" s="1">
        <v>0</v>
      </c>
      <c r="L491" s="1" t="s">
        <v>29</v>
      </c>
      <c r="M491" s="1">
        <v>5</v>
      </c>
      <c r="N491" s="1">
        <v>7</v>
      </c>
      <c r="O491" s="1">
        <v>610.47</v>
      </c>
      <c r="P491" cm="1">
        <f t="array" ref="P491">_xlfn.IFS(O491&gt;=3000,20%,O491&gt;=1000,15%,O491&gt;=500,10%,O491&gt;=200,5%,O491&lt;200,0%)</f>
        <v>0.1</v>
      </c>
      <c r="Q491">
        <f t="shared" si="14"/>
        <v>61.047000000000004</v>
      </c>
      <c r="R491" t="str">
        <f t="shared" si="15"/>
        <v>Low Risk</v>
      </c>
    </row>
    <row r="492" spans="1:18" x14ac:dyDescent="0.35">
      <c r="A492" s="1" t="s">
        <v>632</v>
      </c>
      <c r="B492" s="2">
        <v>45514</v>
      </c>
      <c r="C492" s="1" t="s">
        <v>45</v>
      </c>
      <c r="E492" s="1" t="s">
        <v>32</v>
      </c>
      <c r="G492" s="1" t="s">
        <v>38</v>
      </c>
      <c r="H492" s="1" t="s">
        <v>35</v>
      </c>
      <c r="I492" s="1">
        <v>530.62</v>
      </c>
      <c r="J492" s="1">
        <v>1</v>
      </c>
      <c r="K492" s="1">
        <v>0</v>
      </c>
      <c r="L492" s="1" t="s">
        <v>29</v>
      </c>
      <c r="N492" s="1">
        <v>7</v>
      </c>
      <c r="O492" s="1">
        <v>530.62</v>
      </c>
      <c r="P492" cm="1">
        <f t="array" ref="P492">_xlfn.IFS(O492&gt;=3000,20%,O492&gt;=1000,15%,O492&gt;=500,10%,O492&gt;=200,5%,O492&lt;200,0%)</f>
        <v>0.1</v>
      </c>
      <c r="Q492">
        <f t="shared" si="14"/>
        <v>53.062000000000005</v>
      </c>
      <c r="R492" t="str">
        <f t="shared" si="15"/>
        <v>Missing Data</v>
      </c>
    </row>
    <row r="493" spans="1:18" x14ac:dyDescent="0.35">
      <c r="A493" s="1" t="s">
        <v>633</v>
      </c>
      <c r="B493" s="2">
        <v>45541</v>
      </c>
      <c r="C493" s="1" t="s">
        <v>124</v>
      </c>
      <c r="E493" s="1" t="s">
        <v>32</v>
      </c>
      <c r="G493" s="1" t="s">
        <v>34</v>
      </c>
      <c r="H493" s="1" t="s">
        <v>55</v>
      </c>
      <c r="I493" s="1">
        <v>560.09</v>
      </c>
      <c r="J493" s="1">
        <v>4</v>
      </c>
      <c r="K493" s="1">
        <v>20</v>
      </c>
      <c r="L493" s="1" t="s">
        <v>29</v>
      </c>
      <c r="N493" s="1">
        <v>3</v>
      </c>
      <c r="O493" s="1">
        <v>1792.288</v>
      </c>
      <c r="P493" cm="1">
        <f t="array" ref="P493">_xlfn.IFS(O493&gt;=3000,20%,O493&gt;=1000,15%,O493&gt;=500,10%,O493&gt;=200,5%,O493&lt;200,0%)</f>
        <v>0.15</v>
      </c>
      <c r="Q493">
        <f t="shared" si="14"/>
        <v>268.84319999999997</v>
      </c>
      <c r="R493" t="str">
        <f t="shared" si="15"/>
        <v>Missing Data</v>
      </c>
    </row>
    <row r="494" spans="1:18" x14ac:dyDescent="0.35">
      <c r="A494" s="1" t="s">
        <v>634</v>
      </c>
      <c r="B494" s="2">
        <v>45438</v>
      </c>
      <c r="C494" s="1" t="s">
        <v>178</v>
      </c>
      <c r="D494" s="1">
        <v>36</v>
      </c>
      <c r="E494" s="1" t="s">
        <v>32</v>
      </c>
      <c r="F494" s="1" t="s">
        <v>27</v>
      </c>
      <c r="G494" s="1" t="s">
        <v>38</v>
      </c>
      <c r="H494" s="1" t="s">
        <v>28</v>
      </c>
      <c r="I494" s="1">
        <v>266.48</v>
      </c>
      <c r="J494" s="1">
        <v>2</v>
      </c>
      <c r="K494" s="1">
        <v>5</v>
      </c>
      <c r="L494" s="1" t="s">
        <v>52</v>
      </c>
      <c r="N494" s="1">
        <v>3</v>
      </c>
      <c r="O494" s="1">
        <v>506.31200000000001</v>
      </c>
      <c r="P494" cm="1">
        <f t="array" ref="P494">_xlfn.IFS(O494&gt;=3000,20%,O494&gt;=1000,15%,O494&gt;=500,10%,O494&gt;=200,5%,O494&lt;200,0%)</f>
        <v>0.1</v>
      </c>
      <c r="Q494">
        <f t="shared" si="14"/>
        <v>50.631200000000007</v>
      </c>
      <c r="R494" t="str">
        <f t="shared" si="15"/>
        <v>Missing Data</v>
      </c>
    </row>
    <row r="495" spans="1:18" x14ac:dyDescent="0.35">
      <c r="A495" s="1" t="s">
        <v>635</v>
      </c>
      <c r="B495" s="2">
        <v>45387</v>
      </c>
      <c r="C495" s="1" t="s">
        <v>270</v>
      </c>
      <c r="D495" s="1">
        <v>31</v>
      </c>
      <c r="E495" s="1" t="s">
        <v>20</v>
      </c>
      <c r="F495" s="1" t="s">
        <v>51</v>
      </c>
      <c r="G495" s="1" t="s">
        <v>34</v>
      </c>
      <c r="H495" s="1" t="s">
        <v>42</v>
      </c>
      <c r="I495" s="1">
        <v>455.07</v>
      </c>
      <c r="J495" s="1">
        <v>2</v>
      </c>
      <c r="K495" s="1">
        <v>5</v>
      </c>
      <c r="L495" s="1" t="s">
        <v>43</v>
      </c>
      <c r="M495" s="1">
        <v>2</v>
      </c>
      <c r="N495" s="1">
        <v>3</v>
      </c>
      <c r="O495" s="1">
        <v>864.63300000000004</v>
      </c>
      <c r="P495" cm="1">
        <f t="array" ref="P495">_xlfn.IFS(O495&gt;=3000,20%,O495&gt;=1000,15%,O495&gt;=500,10%,O495&gt;=200,5%,O495&lt;200,0%)</f>
        <v>0.1</v>
      </c>
      <c r="Q495">
        <f t="shared" si="14"/>
        <v>86.463300000000004</v>
      </c>
      <c r="R495" t="str">
        <f t="shared" si="15"/>
        <v>Medium Risk</v>
      </c>
    </row>
    <row r="496" spans="1:18" x14ac:dyDescent="0.35">
      <c r="A496" s="1" t="s">
        <v>636</v>
      </c>
      <c r="B496" s="2">
        <v>45548</v>
      </c>
      <c r="C496" s="1" t="s">
        <v>182</v>
      </c>
      <c r="D496" s="1">
        <v>43</v>
      </c>
      <c r="E496" s="1" t="s">
        <v>32</v>
      </c>
      <c r="F496" s="1" t="s">
        <v>46</v>
      </c>
      <c r="G496" s="1" t="s">
        <v>34</v>
      </c>
      <c r="H496" s="1" t="s">
        <v>35</v>
      </c>
      <c r="I496" s="1">
        <v>456.38</v>
      </c>
      <c r="J496" s="1">
        <v>1</v>
      </c>
      <c r="K496" s="1">
        <v>20</v>
      </c>
      <c r="L496" s="1" t="s">
        <v>52</v>
      </c>
      <c r="M496" s="1">
        <v>5</v>
      </c>
      <c r="N496" s="1">
        <v>6</v>
      </c>
      <c r="O496" s="1">
        <v>365.10399999999998</v>
      </c>
      <c r="P496" cm="1">
        <f t="array" ref="P496">_xlfn.IFS(O496&gt;=3000,20%,O496&gt;=1000,15%,O496&gt;=500,10%,O496&gt;=200,5%,O496&lt;200,0%)</f>
        <v>0.05</v>
      </c>
      <c r="Q496">
        <f t="shared" si="14"/>
        <v>18.255199999999999</v>
      </c>
      <c r="R496" t="str">
        <f t="shared" si="15"/>
        <v>Medium Risk</v>
      </c>
    </row>
    <row r="497" spans="1:18" x14ac:dyDescent="0.35">
      <c r="A497" s="1" t="s">
        <v>637</v>
      </c>
      <c r="B497" s="2">
        <v>45616</v>
      </c>
      <c r="C497" s="1" t="s">
        <v>358</v>
      </c>
      <c r="E497" s="1" t="s">
        <v>32</v>
      </c>
      <c r="G497" s="1" t="s">
        <v>38</v>
      </c>
      <c r="H497" s="1" t="s">
        <v>96</v>
      </c>
      <c r="I497" s="1">
        <v>81.78</v>
      </c>
      <c r="J497" s="1">
        <v>1</v>
      </c>
      <c r="K497" s="1">
        <v>20</v>
      </c>
      <c r="L497" s="1" t="s">
        <v>43</v>
      </c>
      <c r="N497" s="1">
        <v>6</v>
      </c>
      <c r="O497" s="1">
        <v>65.424000000000007</v>
      </c>
      <c r="P497" cm="1">
        <f t="array" ref="P497">_xlfn.IFS(O497&gt;=3000,20%,O497&gt;=1000,15%,O497&gt;=500,10%,O497&gt;=200,5%,O497&lt;200,0%)</f>
        <v>0</v>
      </c>
      <c r="Q497">
        <f t="shared" si="14"/>
        <v>0</v>
      </c>
      <c r="R497" t="str">
        <f t="shared" si="15"/>
        <v>Missing Data</v>
      </c>
    </row>
    <row r="498" spans="1:18" x14ac:dyDescent="0.35">
      <c r="A498" s="1" t="s">
        <v>638</v>
      </c>
      <c r="B498" s="2">
        <v>45295</v>
      </c>
      <c r="C498" s="1" t="s">
        <v>233</v>
      </c>
      <c r="D498" s="1">
        <v>42</v>
      </c>
      <c r="E498" s="1" t="s">
        <v>32</v>
      </c>
      <c r="F498" s="1" t="s">
        <v>51</v>
      </c>
      <c r="G498" s="1" t="s">
        <v>41</v>
      </c>
      <c r="H498" s="1" t="s">
        <v>125</v>
      </c>
      <c r="I498" s="1">
        <v>925.73</v>
      </c>
      <c r="J498" s="1">
        <v>2</v>
      </c>
      <c r="K498" s="1">
        <v>15</v>
      </c>
      <c r="L498" s="1" t="s">
        <v>24</v>
      </c>
      <c r="M498" s="1">
        <v>4</v>
      </c>
      <c r="N498" s="1">
        <v>3</v>
      </c>
      <c r="O498" s="1">
        <v>1573.741</v>
      </c>
      <c r="P498" cm="1">
        <f t="array" ref="P498">_xlfn.IFS(O498&gt;=3000,20%,O498&gt;=1000,15%,O498&gt;=500,10%,O498&gt;=200,5%,O498&lt;200,0%)</f>
        <v>0.15</v>
      </c>
      <c r="Q498">
        <f t="shared" si="14"/>
        <v>236.06115</v>
      </c>
      <c r="R498" t="str">
        <f t="shared" si="15"/>
        <v>Medium Risk</v>
      </c>
    </row>
    <row r="499" spans="1:18" x14ac:dyDescent="0.35">
      <c r="A499" s="1" t="s">
        <v>639</v>
      </c>
      <c r="B499" s="2">
        <v>45307</v>
      </c>
      <c r="C499" s="1" t="s">
        <v>388</v>
      </c>
      <c r="D499" s="1">
        <v>59</v>
      </c>
      <c r="E499" s="1" t="s">
        <v>32</v>
      </c>
      <c r="F499" s="1" t="s">
        <v>21</v>
      </c>
      <c r="G499" s="1" t="s">
        <v>22</v>
      </c>
      <c r="H499" s="1" t="s">
        <v>64</v>
      </c>
      <c r="I499" s="1">
        <v>511.48</v>
      </c>
      <c r="J499" s="1">
        <v>4</v>
      </c>
      <c r="K499" s="1">
        <v>20</v>
      </c>
      <c r="L499" s="1" t="s">
        <v>52</v>
      </c>
      <c r="M499" s="1">
        <v>4</v>
      </c>
      <c r="N499" s="1">
        <v>3</v>
      </c>
      <c r="O499" s="1">
        <v>1636.7360000000001</v>
      </c>
      <c r="P499" cm="1">
        <f t="array" ref="P499">_xlfn.IFS(O499&gt;=3000,20%,O499&gt;=1000,15%,O499&gt;=500,10%,O499&gt;=200,5%,O499&lt;200,0%)</f>
        <v>0.15</v>
      </c>
      <c r="Q499">
        <f t="shared" si="14"/>
        <v>245.5104</v>
      </c>
      <c r="R499" t="str">
        <f t="shared" si="15"/>
        <v>Medium Risk</v>
      </c>
    </row>
    <row r="500" spans="1:18" x14ac:dyDescent="0.35">
      <c r="A500" s="1" t="s">
        <v>640</v>
      </c>
      <c r="B500" s="2">
        <v>45571</v>
      </c>
      <c r="C500" s="1" t="s">
        <v>152</v>
      </c>
      <c r="D500" s="1">
        <v>42</v>
      </c>
      <c r="E500" s="1" t="s">
        <v>32</v>
      </c>
      <c r="F500" s="1" t="s">
        <v>27</v>
      </c>
      <c r="G500" s="1" t="s">
        <v>47</v>
      </c>
      <c r="H500" s="1" t="s">
        <v>48</v>
      </c>
      <c r="I500" s="1">
        <v>990.17</v>
      </c>
      <c r="J500" s="1">
        <v>3</v>
      </c>
      <c r="K500" s="1">
        <v>10</v>
      </c>
      <c r="L500" s="1" t="s">
        <v>43</v>
      </c>
      <c r="M500" s="1">
        <v>5</v>
      </c>
      <c r="N500" s="1">
        <v>8</v>
      </c>
      <c r="O500" s="1">
        <v>2673.4589999999998</v>
      </c>
      <c r="P500" cm="1">
        <f t="array" ref="P500">_xlfn.IFS(O500&gt;=3000,20%,O500&gt;=1000,15%,O500&gt;=500,10%,O500&gt;=200,5%,O500&lt;200,0%)</f>
        <v>0.15</v>
      </c>
      <c r="Q500">
        <f t="shared" si="14"/>
        <v>401.01884999999999</v>
      </c>
      <c r="R500" t="str">
        <f t="shared" si="15"/>
        <v>Low Risk</v>
      </c>
    </row>
    <row r="501" spans="1:18" x14ac:dyDescent="0.35">
      <c r="A501" s="1" t="s">
        <v>641</v>
      </c>
      <c r="B501" s="2">
        <v>45627</v>
      </c>
      <c r="C501" s="1" t="s">
        <v>186</v>
      </c>
      <c r="D501" s="1">
        <v>35</v>
      </c>
      <c r="E501" s="1" t="s">
        <v>20</v>
      </c>
      <c r="F501" s="1" t="s">
        <v>33</v>
      </c>
      <c r="G501" s="1" t="s">
        <v>34</v>
      </c>
      <c r="H501" s="1" t="s">
        <v>96</v>
      </c>
      <c r="I501" s="1">
        <v>1023.41</v>
      </c>
      <c r="J501" s="1">
        <v>3</v>
      </c>
      <c r="K501" s="1">
        <v>5</v>
      </c>
      <c r="L501" s="1" t="s">
        <v>43</v>
      </c>
      <c r="N501" s="1">
        <v>8</v>
      </c>
      <c r="O501" s="1">
        <v>2916.7184999999999</v>
      </c>
      <c r="P501" cm="1">
        <f t="array" ref="P501">_xlfn.IFS(O501&gt;=3000,20%,O501&gt;=1000,15%,O501&gt;=500,10%,O501&gt;=200,5%,O501&lt;200,0%)</f>
        <v>0.15</v>
      </c>
      <c r="Q501">
        <f t="shared" si="14"/>
        <v>437.50777499999998</v>
      </c>
      <c r="R501" t="str">
        <f t="shared" si="15"/>
        <v>Missing Data</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5DD10-526E-4276-BBFE-DC03ED0DE575}">
  <dimension ref="A1:Z501"/>
  <sheetViews>
    <sheetView topLeftCell="S1" workbookViewId="0">
      <selection activeCell="H3" sqref="H3"/>
    </sheetView>
  </sheetViews>
  <sheetFormatPr defaultRowHeight="14.5" x14ac:dyDescent="0.35"/>
  <cols>
    <col min="1" max="1" width="13" bestFit="1" customWidth="1"/>
    <col min="2" max="2" width="17.81640625" bestFit="1" customWidth="1"/>
    <col min="3" max="3" width="11.54296875" customWidth="1"/>
    <col min="4" max="6" width="10.7265625" customWidth="1"/>
    <col min="7" max="7" width="11.453125" customWidth="1"/>
    <col min="8" max="8" width="12.81640625" customWidth="1"/>
    <col min="11" max="11" width="15.6328125" customWidth="1"/>
    <col min="12" max="12" width="12.90625" customWidth="1"/>
    <col min="13" max="13" width="9.81640625" customWidth="1"/>
    <col min="15" max="15" width="10.26953125" customWidth="1"/>
    <col min="16" max="16" width="15.54296875" customWidth="1"/>
    <col min="17" max="17" width="14.6328125" customWidth="1"/>
    <col min="18" max="18" width="17.08984375" customWidth="1"/>
    <col min="19" max="19" width="10.453125" customWidth="1"/>
    <col min="20" max="20" width="9.453125" bestFit="1" customWidth="1"/>
    <col min="21" max="21" width="11.54296875" bestFit="1" customWidth="1"/>
    <col min="22" max="22" width="14.7265625" bestFit="1" customWidth="1"/>
    <col min="23" max="23" width="11.08984375" bestFit="1" customWidth="1"/>
    <col min="24" max="24" width="11.90625" bestFit="1" customWidth="1"/>
    <col min="25" max="25" width="10.36328125" bestFit="1" customWidth="1"/>
    <col min="26" max="26" width="10.7265625" bestFit="1" customWidth="1"/>
    <col min="28" max="29" width="8.36328125" customWidth="1"/>
    <col min="30" max="30" width="9.6328125" customWidth="1"/>
    <col min="31" max="31" width="14.81640625" customWidth="1"/>
    <col min="32" max="32" width="15.453125" customWidth="1"/>
  </cols>
  <sheetData>
    <row r="1" spans="1:26" x14ac:dyDescent="0.35">
      <c r="A1" s="3" t="s">
        <v>0</v>
      </c>
      <c r="B1" s="3" t="s">
        <v>642</v>
      </c>
      <c r="C1" s="3" t="s">
        <v>1</v>
      </c>
      <c r="D1" s="3" t="s">
        <v>643</v>
      </c>
      <c r="E1" s="3" t="s">
        <v>644</v>
      </c>
      <c r="F1" s="3" t="s">
        <v>645</v>
      </c>
      <c r="G1" s="3" t="s">
        <v>2</v>
      </c>
      <c r="H1" s="3" t="s">
        <v>3</v>
      </c>
      <c r="I1" s="3" t="s">
        <v>4</v>
      </c>
      <c r="J1" s="3" t="s">
        <v>5</v>
      </c>
      <c r="K1" s="3" t="s">
        <v>6</v>
      </c>
      <c r="L1" s="3" t="s">
        <v>7</v>
      </c>
      <c r="M1" s="3" t="s">
        <v>8</v>
      </c>
      <c r="N1" s="3" t="s">
        <v>9</v>
      </c>
      <c r="O1" s="3" t="s">
        <v>10</v>
      </c>
      <c r="P1" s="3" t="s">
        <v>11</v>
      </c>
      <c r="Q1" s="3" t="s">
        <v>12</v>
      </c>
      <c r="R1" s="3" t="s">
        <v>13</v>
      </c>
      <c r="S1" s="3" t="s">
        <v>14</v>
      </c>
      <c r="T1" s="3" t="s">
        <v>646</v>
      </c>
      <c r="U1" s="3" t="s">
        <v>647</v>
      </c>
      <c r="V1" s="3" t="s">
        <v>648</v>
      </c>
      <c r="W1" s="3" t="s">
        <v>649</v>
      </c>
      <c r="X1" s="3" t="s">
        <v>650</v>
      </c>
      <c r="Y1" s="3" t="s">
        <v>651</v>
      </c>
      <c r="Z1" s="3" t="s">
        <v>652</v>
      </c>
    </row>
    <row r="2" spans="1:26" x14ac:dyDescent="0.35">
      <c r="A2" s="3" t="s">
        <v>18</v>
      </c>
      <c r="B2" s="3">
        <v>1000</v>
      </c>
      <c r="C2">
        <v>12</v>
      </c>
      <c r="D2">
        <v>4</v>
      </c>
      <c r="E2">
        <v>2024</v>
      </c>
      <c r="F2" s="4">
        <f>DATE(E2,D2,C2)</f>
        <v>45394</v>
      </c>
      <c r="G2" s="3" t="s">
        <v>19</v>
      </c>
      <c r="H2" s="3">
        <v>19</v>
      </c>
      <c r="I2" s="3" t="s">
        <v>20</v>
      </c>
      <c r="J2" s="3" t="s">
        <v>21</v>
      </c>
      <c r="K2" s="3" t="s">
        <v>22</v>
      </c>
      <c r="L2" s="3" t="s">
        <v>23</v>
      </c>
      <c r="M2" s="3">
        <v>551.41</v>
      </c>
      <c r="N2" s="3">
        <v>4</v>
      </c>
      <c r="O2" s="3">
        <v>20</v>
      </c>
      <c r="P2" s="3" t="s">
        <v>24</v>
      </c>
      <c r="Q2" s="3"/>
      <c r="R2" s="3">
        <v>2</v>
      </c>
      <c r="S2" s="3">
        <v>1764.5119999999999</v>
      </c>
      <c r="T2" cm="1">
        <f t="array" ref="T2:T264">_xlfn._xlws.FILTER(S2:S501,I2:I501="Male")</f>
        <v>670.09749999999997</v>
      </c>
      <c r="U2" cm="1">
        <f t="array" ref="U2:U238">_xlfn._xlws.FILTER(S2:S501,I2:I501="Female")</f>
        <v>1764.5119999999999</v>
      </c>
      <c r="V2" cm="1">
        <f t="array" ref="V2:V96">_xlfn._xlws.FILTER(S2:S501,K2:K501="Electronics")</f>
        <v>1764.5119999999999</v>
      </c>
      <c r="W2" cm="1">
        <f t="array" ref="W2:W112">_xlfn._xlws.FILTER(S2:S501,K2:K501="Beauty")</f>
        <v>670.09749999999997</v>
      </c>
      <c r="X2" cm="1">
        <f t="array" ref="X2:X106">_xlfn._xlws.FILTER(S2:S501,K2:K501="Fashion")</f>
        <v>1354.86</v>
      </c>
      <c r="Y2" cm="1">
        <f t="array" ref="Y2:Y80">_xlfn._xlws.FILTER(S2:S501,K2:K501="Home")</f>
        <v>1176.6600000000001</v>
      </c>
      <c r="Z2" cm="1">
        <f t="array" ref="Z2:Z111">_xlfn._xlws.FILTER(S2:S501,K2:K501="Sports")</f>
        <v>1721.9469999999999</v>
      </c>
    </row>
    <row r="3" spans="1:26" x14ac:dyDescent="0.35">
      <c r="A3" s="3" t="s">
        <v>25</v>
      </c>
      <c r="B3" s="3">
        <v>1001</v>
      </c>
      <c r="C3">
        <v>14</v>
      </c>
      <c r="D3">
        <v>12</v>
      </c>
      <c r="E3">
        <v>2024</v>
      </c>
      <c r="F3" s="4">
        <f t="shared" ref="F3:F66" si="0">DATE(E3,D3,C3)</f>
        <v>45640</v>
      </c>
      <c r="G3" s="3" t="s">
        <v>26</v>
      </c>
      <c r="H3" s="3">
        <v>45</v>
      </c>
      <c r="I3" s="3" t="s">
        <v>20</v>
      </c>
      <c r="J3" s="3" t="s">
        <v>27</v>
      </c>
      <c r="K3" s="3" t="s">
        <v>22</v>
      </c>
      <c r="L3" s="3" t="s">
        <v>28</v>
      </c>
      <c r="M3" s="3">
        <v>903.62</v>
      </c>
      <c r="N3" s="3">
        <v>1</v>
      </c>
      <c r="O3" s="3">
        <v>20</v>
      </c>
      <c r="P3" s="3" t="s">
        <v>29</v>
      </c>
      <c r="Q3" s="3">
        <v>3</v>
      </c>
      <c r="R3" s="3">
        <v>8</v>
      </c>
      <c r="S3" s="3">
        <v>722.89599999999996</v>
      </c>
      <c r="T3">
        <v>1958.808</v>
      </c>
      <c r="U3">
        <v>722.89599999999996</v>
      </c>
      <c r="V3">
        <v>722.89599999999996</v>
      </c>
      <c r="W3">
        <v>691.46100000000001</v>
      </c>
      <c r="X3">
        <v>663.89599999999996</v>
      </c>
      <c r="Y3">
        <v>968.68799999999999</v>
      </c>
      <c r="Z3">
        <v>1958.808</v>
      </c>
    </row>
    <row r="4" spans="1:26" x14ac:dyDescent="0.35">
      <c r="A4" s="3" t="s">
        <v>30</v>
      </c>
      <c r="B4" s="3">
        <v>1002</v>
      </c>
      <c r="C4">
        <v>27</v>
      </c>
      <c r="D4">
        <v>9</v>
      </c>
      <c r="E4">
        <v>2024</v>
      </c>
      <c r="F4" s="4">
        <f t="shared" si="0"/>
        <v>45562</v>
      </c>
      <c r="G4" s="3" t="s">
        <v>31</v>
      </c>
      <c r="H4" s="3">
        <v>49</v>
      </c>
      <c r="I4" s="3" t="s">
        <v>32</v>
      </c>
      <c r="J4" s="3" t="s">
        <v>33</v>
      </c>
      <c r="K4" s="3" t="s">
        <v>34</v>
      </c>
      <c r="L4" s="3" t="s">
        <v>35</v>
      </c>
      <c r="M4" s="3">
        <v>788.35</v>
      </c>
      <c r="N4" s="3">
        <v>1</v>
      </c>
      <c r="O4" s="3">
        <v>15</v>
      </c>
      <c r="P4" s="3" t="s">
        <v>29</v>
      </c>
      <c r="Q4" s="3">
        <v>4</v>
      </c>
      <c r="R4" s="3">
        <v>9</v>
      </c>
      <c r="S4" s="3">
        <v>670.09749999999997</v>
      </c>
      <c r="T4">
        <v>1998.078</v>
      </c>
      <c r="U4">
        <v>1354.86</v>
      </c>
      <c r="V4">
        <v>1998.078</v>
      </c>
      <c r="W4">
        <v>574.56600000000003</v>
      </c>
      <c r="X4">
        <v>430.084</v>
      </c>
      <c r="Y4">
        <v>97.070999999999998</v>
      </c>
      <c r="Z4">
        <v>817.89</v>
      </c>
    </row>
    <row r="5" spans="1:26" x14ac:dyDescent="0.35">
      <c r="A5" s="3" t="s">
        <v>36</v>
      </c>
      <c r="B5" s="3">
        <v>1003</v>
      </c>
      <c r="C5">
        <v>16</v>
      </c>
      <c r="D5">
        <v>4</v>
      </c>
      <c r="E5">
        <v>2024</v>
      </c>
      <c r="F5" s="4">
        <f t="shared" si="0"/>
        <v>45398</v>
      </c>
      <c r="G5" s="3" t="s">
        <v>37</v>
      </c>
      <c r="H5" s="3">
        <v>44</v>
      </c>
      <c r="I5" s="3" t="s">
        <v>20</v>
      </c>
      <c r="J5" s="3" t="s">
        <v>33</v>
      </c>
      <c r="K5" s="3" t="s">
        <v>38</v>
      </c>
      <c r="L5" s="3" t="s">
        <v>28</v>
      </c>
      <c r="M5" s="3">
        <v>752.7</v>
      </c>
      <c r="N5" s="3">
        <v>2</v>
      </c>
      <c r="O5" s="3">
        <v>10</v>
      </c>
      <c r="P5" s="3" t="s">
        <v>29</v>
      </c>
      <c r="Q5" s="3">
        <v>4</v>
      </c>
      <c r="R5" s="3">
        <v>5</v>
      </c>
      <c r="S5" s="3">
        <v>1354.86</v>
      </c>
      <c r="T5">
        <v>574.56600000000003</v>
      </c>
      <c r="U5">
        <v>1176.6600000000001</v>
      </c>
      <c r="V5">
        <v>943.78499999999997</v>
      </c>
      <c r="W5">
        <v>3627.7559999999999</v>
      </c>
      <c r="X5">
        <v>1152.28</v>
      </c>
      <c r="Y5">
        <v>1216.864</v>
      </c>
      <c r="Z5">
        <v>823.81600000000003</v>
      </c>
    </row>
    <row r="6" spans="1:26" x14ac:dyDescent="0.35">
      <c r="A6" s="3" t="s">
        <v>39</v>
      </c>
      <c r="B6" s="3">
        <v>1004</v>
      </c>
      <c r="C6">
        <v>12</v>
      </c>
      <c r="D6">
        <v>3</v>
      </c>
      <c r="E6">
        <v>2024</v>
      </c>
      <c r="F6" s="4">
        <f t="shared" si="0"/>
        <v>45363</v>
      </c>
      <c r="G6" s="3" t="s">
        <v>40</v>
      </c>
      <c r="H6" s="3">
        <v>37</v>
      </c>
      <c r="I6" s="3" t="s">
        <v>20</v>
      </c>
      <c r="J6" s="3" t="s">
        <v>21</v>
      </c>
      <c r="K6" s="3" t="s">
        <v>41</v>
      </c>
      <c r="L6" s="3" t="s">
        <v>42</v>
      </c>
      <c r="M6" s="3">
        <v>435.8</v>
      </c>
      <c r="N6" s="3">
        <v>3</v>
      </c>
      <c r="O6" s="3">
        <v>10</v>
      </c>
      <c r="P6" s="3" t="s">
        <v>653</v>
      </c>
      <c r="Q6" s="3"/>
      <c r="R6" s="3">
        <v>4</v>
      </c>
      <c r="S6" s="3">
        <v>1176.6600000000001</v>
      </c>
      <c r="T6">
        <v>817.89</v>
      </c>
      <c r="U6">
        <v>1721.9469999999999</v>
      </c>
      <c r="V6">
        <v>3114.4</v>
      </c>
      <c r="W6">
        <v>1593.5715</v>
      </c>
      <c r="X6">
        <v>2345.2399999999998</v>
      </c>
      <c r="Y6">
        <v>1755.5239999999999</v>
      </c>
      <c r="Z6">
        <v>1510.38</v>
      </c>
    </row>
    <row r="7" spans="1:26" x14ac:dyDescent="0.35">
      <c r="A7" s="3" t="s">
        <v>44</v>
      </c>
      <c r="B7" s="3">
        <v>1005</v>
      </c>
      <c r="C7">
        <v>7</v>
      </c>
      <c r="D7">
        <v>7</v>
      </c>
      <c r="E7">
        <v>2024</v>
      </c>
      <c r="F7" s="4">
        <f t="shared" si="0"/>
        <v>45480</v>
      </c>
      <c r="G7" s="3" t="s">
        <v>45</v>
      </c>
      <c r="H7" s="3">
        <v>41</v>
      </c>
      <c r="I7" s="3" t="s">
        <v>20</v>
      </c>
      <c r="J7" s="3" t="s">
        <v>46</v>
      </c>
      <c r="K7" s="3" t="s">
        <v>47</v>
      </c>
      <c r="L7" s="3" t="s">
        <v>48</v>
      </c>
      <c r="M7" s="3">
        <v>1012.91</v>
      </c>
      <c r="N7" s="3">
        <v>2</v>
      </c>
      <c r="O7" s="3">
        <v>15</v>
      </c>
      <c r="P7" s="3" t="s">
        <v>653</v>
      </c>
      <c r="Q7" s="3">
        <v>1</v>
      </c>
      <c r="R7" s="3">
        <v>6</v>
      </c>
      <c r="S7" s="3">
        <v>1721.9469999999999</v>
      </c>
      <c r="T7">
        <v>968.68799999999999</v>
      </c>
      <c r="U7">
        <v>691.46100000000001</v>
      </c>
      <c r="V7">
        <v>236.64</v>
      </c>
      <c r="W7">
        <v>433.47199999999998</v>
      </c>
      <c r="X7">
        <v>150.65</v>
      </c>
      <c r="Y7">
        <v>936.17100000000005</v>
      </c>
      <c r="Z7">
        <v>1900.74</v>
      </c>
    </row>
    <row r="8" spans="1:26" x14ac:dyDescent="0.35">
      <c r="A8" s="3" t="s">
        <v>49</v>
      </c>
      <c r="B8" s="3">
        <v>1006</v>
      </c>
      <c r="C8">
        <v>21</v>
      </c>
      <c r="D8">
        <v>1</v>
      </c>
      <c r="E8">
        <v>2024</v>
      </c>
      <c r="F8" s="4">
        <f t="shared" si="0"/>
        <v>45312</v>
      </c>
      <c r="G8" s="3" t="s">
        <v>50</v>
      </c>
      <c r="H8" s="3">
        <v>29</v>
      </c>
      <c r="I8" s="3" t="s">
        <v>32</v>
      </c>
      <c r="J8" s="3" t="s">
        <v>51</v>
      </c>
      <c r="K8" s="3" t="s">
        <v>47</v>
      </c>
      <c r="L8" s="3" t="s">
        <v>42</v>
      </c>
      <c r="M8" s="3">
        <v>576.12</v>
      </c>
      <c r="N8" s="3">
        <v>4</v>
      </c>
      <c r="O8" s="3">
        <v>15</v>
      </c>
      <c r="P8" s="3" t="s">
        <v>654</v>
      </c>
      <c r="Q8" s="3">
        <v>1</v>
      </c>
      <c r="R8" s="3">
        <v>8</v>
      </c>
      <c r="S8" s="3">
        <v>1958.808</v>
      </c>
      <c r="T8">
        <v>663.89599999999996</v>
      </c>
      <c r="U8">
        <v>3114.4</v>
      </c>
      <c r="V8">
        <v>1363.1759999999999</v>
      </c>
      <c r="W8">
        <v>751.19349999999997</v>
      </c>
      <c r="X8">
        <v>2206.66</v>
      </c>
      <c r="Y8">
        <v>328.33800000000002</v>
      </c>
      <c r="Z8">
        <v>804.68</v>
      </c>
    </row>
    <row r="9" spans="1:26" x14ac:dyDescent="0.35">
      <c r="A9" s="3" t="s">
        <v>53</v>
      </c>
      <c r="B9" s="3">
        <v>1007</v>
      </c>
      <c r="C9">
        <v>12</v>
      </c>
      <c r="D9">
        <v>4</v>
      </c>
      <c r="E9">
        <v>2024</v>
      </c>
      <c r="F9" s="4">
        <f t="shared" si="0"/>
        <v>45394</v>
      </c>
      <c r="G9" s="3" t="s">
        <v>54</v>
      </c>
      <c r="H9" s="3">
        <v>52</v>
      </c>
      <c r="I9" s="3" t="s">
        <v>32</v>
      </c>
      <c r="J9" s="3" t="s">
        <v>51</v>
      </c>
      <c r="K9" s="3" t="s">
        <v>22</v>
      </c>
      <c r="L9" s="3" t="s">
        <v>55</v>
      </c>
      <c r="M9" s="3">
        <v>1175.3399999999999</v>
      </c>
      <c r="N9" s="3">
        <v>2</v>
      </c>
      <c r="O9" s="3">
        <v>15</v>
      </c>
      <c r="P9" s="3" t="s">
        <v>654</v>
      </c>
      <c r="Q9" s="3">
        <v>2</v>
      </c>
      <c r="R9" s="3">
        <v>3</v>
      </c>
      <c r="S9" s="3">
        <v>1998.078</v>
      </c>
      <c r="T9">
        <v>97.070999999999998</v>
      </c>
      <c r="U9">
        <v>1510.38</v>
      </c>
      <c r="V9">
        <v>3772.8719999999998</v>
      </c>
      <c r="W9">
        <v>4283.3599999999997</v>
      </c>
      <c r="X9">
        <v>845.28</v>
      </c>
      <c r="Y9">
        <v>1551.664</v>
      </c>
      <c r="Z9">
        <v>1035.9655</v>
      </c>
    </row>
    <row r="10" spans="1:26" x14ac:dyDescent="0.35">
      <c r="A10" s="3" t="s">
        <v>56</v>
      </c>
      <c r="B10" s="3">
        <v>1008</v>
      </c>
      <c r="C10">
        <v>1</v>
      </c>
      <c r="D10">
        <v>5</v>
      </c>
      <c r="E10">
        <v>2024</v>
      </c>
      <c r="F10" s="4">
        <f t="shared" si="0"/>
        <v>45413</v>
      </c>
      <c r="G10" s="3" t="s">
        <v>57</v>
      </c>
      <c r="H10" s="3">
        <v>50</v>
      </c>
      <c r="I10" s="3" t="s">
        <v>20</v>
      </c>
      <c r="J10" s="3" t="s">
        <v>33</v>
      </c>
      <c r="K10" s="3" t="s">
        <v>34</v>
      </c>
      <c r="L10" s="3" t="s">
        <v>48</v>
      </c>
      <c r="M10" s="3">
        <v>768.29</v>
      </c>
      <c r="N10" s="3">
        <v>1</v>
      </c>
      <c r="O10" s="3">
        <v>10</v>
      </c>
      <c r="P10" s="3" t="s">
        <v>29</v>
      </c>
      <c r="Q10" s="3">
        <v>1</v>
      </c>
      <c r="R10" s="3">
        <v>1</v>
      </c>
      <c r="S10" s="3">
        <v>691.46100000000001</v>
      </c>
      <c r="T10">
        <v>430.084</v>
      </c>
      <c r="U10">
        <v>1216.864</v>
      </c>
      <c r="V10">
        <v>3245.84</v>
      </c>
      <c r="W10">
        <v>1177.704</v>
      </c>
      <c r="X10">
        <v>2168.3924999999999</v>
      </c>
      <c r="Y10">
        <v>683.298</v>
      </c>
      <c r="Z10">
        <v>1064.0640000000001</v>
      </c>
    </row>
    <row r="11" spans="1:26" x14ac:dyDescent="0.35">
      <c r="A11" s="3" t="s">
        <v>58</v>
      </c>
      <c r="B11" s="3">
        <v>1009</v>
      </c>
      <c r="C11">
        <v>2</v>
      </c>
      <c r="D11">
        <v>8</v>
      </c>
      <c r="E11">
        <v>2024</v>
      </c>
      <c r="F11" s="4">
        <f t="shared" si="0"/>
        <v>45506</v>
      </c>
      <c r="G11" s="3" t="s">
        <v>59</v>
      </c>
      <c r="H11" s="3"/>
      <c r="I11" s="3" t="s">
        <v>32</v>
      </c>
      <c r="J11" s="3" t="s">
        <v>655</v>
      </c>
      <c r="K11" s="3" t="s">
        <v>34</v>
      </c>
      <c r="L11" s="3" t="s">
        <v>48</v>
      </c>
      <c r="M11" s="3">
        <v>168.99</v>
      </c>
      <c r="N11" s="3">
        <v>4</v>
      </c>
      <c r="O11" s="3">
        <v>15</v>
      </c>
      <c r="P11" s="3" t="s">
        <v>29</v>
      </c>
      <c r="Q11" s="3"/>
      <c r="R11" s="3">
        <v>4</v>
      </c>
      <c r="S11" s="3">
        <v>574.56600000000003</v>
      </c>
      <c r="T11">
        <v>823.81600000000003</v>
      </c>
      <c r="U11">
        <v>433.47199999999998</v>
      </c>
      <c r="V11">
        <v>2043.96</v>
      </c>
      <c r="W11">
        <v>384.9735</v>
      </c>
      <c r="X11">
        <v>1099.548</v>
      </c>
      <c r="Y11">
        <v>1118.634</v>
      </c>
      <c r="Z11">
        <v>187.893</v>
      </c>
    </row>
    <row r="12" spans="1:26" x14ac:dyDescent="0.35">
      <c r="A12" s="3" t="s">
        <v>60</v>
      </c>
      <c r="B12" s="3">
        <v>1010</v>
      </c>
      <c r="C12">
        <v>26</v>
      </c>
      <c r="D12">
        <v>11</v>
      </c>
      <c r="E12">
        <v>2024</v>
      </c>
      <c r="F12" s="4">
        <f t="shared" si="0"/>
        <v>45622</v>
      </c>
      <c r="G12" s="3" t="s">
        <v>61</v>
      </c>
      <c r="H12" s="3">
        <v>54</v>
      </c>
      <c r="I12" s="3" t="s">
        <v>32</v>
      </c>
      <c r="J12" s="3" t="s">
        <v>51</v>
      </c>
      <c r="K12" s="3" t="s">
        <v>47</v>
      </c>
      <c r="L12" s="3" t="s">
        <v>42</v>
      </c>
      <c r="M12" s="3">
        <v>817.89</v>
      </c>
      <c r="N12" s="3">
        <v>1</v>
      </c>
      <c r="O12" s="3">
        <v>0</v>
      </c>
      <c r="P12" s="3" t="s">
        <v>653</v>
      </c>
      <c r="Q12" s="3">
        <v>5</v>
      </c>
      <c r="R12" s="3">
        <v>4</v>
      </c>
      <c r="S12" s="3">
        <v>817.89</v>
      </c>
      <c r="T12">
        <v>1152.28</v>
      </c>
      <c r="U12">
        <v>4283.3599999999997</v>
      </c>
      <c r="V12">
        <v>2074.44</v>
      </c>
      <c r="W12">
        <v>465.40050000000002</v>
      </c>
      <c r="X12">
        <v>2292.6</v>
      </c>
      <c r="Y12">
        <v>107.128</v>
      </c>
      <c r="Z12">
        <v>700.88</v>
      </c>
    </row>
    <row r="13" spans="1:26" x14ac:dyDescent="0.35">
      <c r="A13" s="3" t="s">
        <v>62</v>
      </c>
      <c r="B13" s="3">
        <v>1011</v>
      </c>
      <c r="C13">
        <v>28</v>
      </c>
      <c r="D13">
        <v>3</v>
      </c>
      <c r="E13">
        <v>2024</v>
      </c>
      <c r="F13" s="4">
        <f t="shared" si="0"/>
        <v>45379</v>
      </c>
      <c r="G13" s="3" t="s">
        <v>63</v>
      </c>
      <c r="H13" s="3">
        <v>29</v>
      </c>
      <c r="I13" s="3" t="s">
        <v>32</v>
      </c>
      <c r="J13" s="3" t="s">
        <v>33</v>
      </c>
      <c r="K13" s="3" t="s">
        <v>41</v>
      </c>
      <c r="L13" s="3" t="s">
        <v>64</v>
      </c>
      <c r="M13" s="3">
        <v>403.62</v>
      </c>
      <c r="N13" s="3">
        <v>3</v>
      </c>
      <c r="O13" s="3">
        <v>20</v>
      </c>
      <c r="P13" s="3" t="s">
        <v>654</v>
      </c>
      <c r="Q13" s="3">
        <v>2</v>
      </c>
      <c r="R13" s="3">
        <v>1</v>
      </c>
      <c r="S13" s="3">
        <v>968.68799999999999</v>
      </c>
      <c r="T13">
        <v>3627.7559999999999</v>
      </c>
      <c r="U13">
        <v>3772.8719999999998</v>
      </c>
      <c r="V13">
        <v>981.19799999999998</v>
      </c>
      <c r="W13">
        <v>563.22</v>
      </c>
      <c r="X13">
        <v>373.9</v>
      </c>
      <c r="Y13">
        <v>1112.22</v>
      </c>
      <c r="Z13">
        <v>2189.42</v>
      </c>
    </row>
    <row r="14" spans="1:26" x14ac:dyDescent="0.35">
      <c r="A14" s="3" t="s">
        <v>65</v>
      </c>
      <c r="B14" s="3">
        <v>1012</v>
      </c>
      <c r="C14">
        <v>9</v>
      </c>
      <c r="D14">
        <v>4</v>
      </c>
      <c r="E14">
        <v>2024</v>
      </c>
      <c r="F14" s="4">
        <f t="shared" si="0"/>
        <v>45391</v>
      </c>
      <c r="G14" s="3" t="s">
        <v>66</v>
      </c>
      <c r="H14" s="3">
        <v>20</v>
      </c>
      <c r="I14" s="3" t="s">
        <v>32</v>
      </c>
      <c r="J14" s="3" t="s">
        <v>46</v>
      </c>
      <c r="K14" s="3" t="s">
        <v>38</v>
      </c>
      <c r="L14" s="3" t="s">
        <v>42</v>
      </c>
      <c r="M14" s="3">
        <v>829.87</v>
      </c>
      <c r="N14" s="3">
        <v>1</v>
      </c>
      <c r="O14" s="3">
        <v>20</v>
      </c>
      <c r="P14" s="3" t="s">
        <v>29</v>
      </c>
      <c r="Q14" s="3">
        <v>1</v>
      </c>
      <c r="R14" s="3">
        <v>9</v>
      </c>
      <c r="S14" s="3">
        <v>663.89599999999996</v>
      </c>
      <c r="T14">
        <v>943.78499999999997</v>
      </c>
      <c r="U14">
        <v>1177.704</v>
      </c>
      <c r="V14">
        <v>1156.1199999999999</v>
      </c>
      <c r="W14">
        <v>750.19200000000001</v>
      </c>
      <c r="X14">
        <v>1535.2190000000001</v>
      </c>
      <c r="Y14">
        <v>2287.116</v>
      </c>
      <c r="Z14">
        <v>3456.7840000000001</v>
      </c>
    </row>
    <row r="15" spans="1:26" x14ac:dyDescent="0.35">
      <c r="A15" s="3" t="s">
        <v>67</v>
      </c>
      <c r="B15" s="3">
        <v>1013</v>
      </c>
      <c r="C15">
        <v>25</v>
      </c>
      <c r="D15">
        <v>12</v>
      </c>
      <c r="E15">
        <v>2024</v>
      </c>
      <c r="F15" s="4">
        <f t="shared" si="0"/>
        <v>45651</v>
      </c>
      <c r="G15" s="3" t="s">
        <v>68</v>
      </c>
      <c r="H15" s="3">
        <v>18</v>
      </c>
      <c r="I15" s="3" t="s">
        <v>32</v>
      </c>
      <c r="J15" s="3" t="s">
        <v>51</v>
      </c>
      <c r="K15" s="3" t="s">
        <v>41</v>
      </c>
      <c r="L15" s="3" t="s">
        <v>28</v>
      </c>
      <c r="M15" s="3">
        <v>102.18</v>
      </c>
      <c r="N15" s="3">
        <v>1</v>
      </c>
      <c r="O15" s="3">
        <v>5</v>
      </c>
      <c r="P15" s="3" t="s">
        <v>654</v>
      </c>
      <c r="Q15" s="3"/>
      <c r="R15" s="3">
        <v>3</v>
      </c>
      <c r="S15" s="3">
        <v>97.070999999999998</v>
      </c>
      <c r="T15">
        <v>1593.5715</v>
      </c>
      <c r="U15">
        <v>1035.9655</v>
      </c>
      <c r="V15">
        <v>3334.386</v>
      </c>
      <c r="W15">
        <v>759.12649999999996</v>
      </c>
      <c r="X15">
        <v>720</v>
      </c>
      <c r="Y15">
        <v>998.56</v>
      </c>
      <c r="Z15">
        <v>82.5</v>
      </c>
    </row>
    <row r="16" spans="1:26" x14ac:dyDescent="0.35">
      <c r="A16" s="3" t="s">
        <v>69</v>
      </c>
      <c r="B16" s="3">
        <v>1014</v>
      </c>
      <c r="C16">
        <v>31</v>
      </c>
      <c r="D16">
        <v>5</v>
      </c>
      <c r="E16">
        <v>2024</v>
      </c>
      <c r="F16" s="4">
        <f t="shared" si="0"/>
        <v>45443</v>
      </c>
      <c r="G16" s="3" t="s">
        <v>70</v>
      </c>
      <c r="H16" s="3">
        <v>50</v>
      </c>
      <c r="I16" s="3" t="s">
        <v>32</v>
      </c>
      <c r="J16" s="3" t="s">
        <v>33</v>
      </c>
      <c r="K16" s="3" t="s">
        <v>38</v>
      </c>
      <c r="L16" s="3" t="s">
        <v>64</v>
      </c>
      <c r="M16" s="3">
        <v>226.36</v>
      </c>
      <c r="N16" s="3">
        <v>2</v>
      </c>
      <c r="O16" s="3">
        <v>5</v>
      </c>
      <c r="P16" s="3" t="s">
        <v>654</v>
      </c>
      <c r="Q16" s="3">
        <v>5</v>
      </c>
      <c r="R16" s="3">
        <v>5</v>
      </c>
      <c r="S16" s="3">
        <v>430.084</v>
      </c>
      <c r="T16">
        <v>236.64</v>
      </c>
      <c r="U16">
        <v>3245.84</v>
      </c>
      <c r="V16">
        <v>69.28</v>
      </c>
      <c r="W16">
        <v>1997.38</v>
      </c>
      <c r="X16">
        <v>644.46299999999997</v>
      </c>
      <c r="Y16">
        <v>1418.4</v>
      </c>
      <c r="Z16">
        <v>366.81599999999997</v>
      </c>
    </row>
    <row r="17" spans="1:26" x14ac:dyDescent="0.35">
      <c r="A17" s="3" t="s">
        <v>71</v>
      </c>
      <c r="B17" s="3">
        <v>1015</v>
      </c>
      <c r="C17">
        <v>10</v>
      </c>
      <c r="D17">
        <v>5</v>
      </c>
      <c r="E17">
        <v>2024</v>
      </c>
      <c r="F17" s="4">
        <f t="shared" si="0"/>
        <v>45422</v>
      </c>
      <c r="G17" s="3" t="s">
        <v>72</v>
      </c>
      <c r="H17" s="3">
        <v>57</v>
      </c>
      <c r="I17" s="3" t="s">
        <v>32</v>
      </c>
      <c r="J17" s="3" t="s">
        <v>33</v>
      </c>
      <c r="K17" s="3" t="s">
        <v>47</v>
      </c>
      <c r="L17" s="3" t="s">
        <v>28</v>
      </c>
      <c r="M17" s="3">
        <v>1029.77</v>
      </c>
      <c r="N17" s="3">
        <v>1</v>
      </c>
      <c r="O17" s="3">
        <v>20</v>
      </c>
      <c r="P17" s="3" t="s">
        <v>29</v>
      </c>
      <c r="Q17" s="3">
        <v>1</v>
      </c>
      <c r="R17" s="3">
        <v>6</v>
      </c>
      <c r="S17" s="3">
        <v>823.81600000000003</v>
      </c>
      <c r="T17">
        <v>1363.1759999999999</v>
      </c>
      <c r="U17">
        <v>2043.96</v>
      </c>
      <c r="V17">
        <v>580.84799999999996</v>
      </c>
      <c r="W17">
        <v>1049.8499999999999</v>
      </c>
      <c r="X17">
        <v>2689.2979999999998</v>
      </c>
      <c r="Y17">
        <v>692.33150000000001</v>
      </c>
      <c r="Z17">
        <v>1276.6659999999999</v>
      </c>
    </row>
    <row r="18" spans="1:26" x14ac:dyDescent="0.35">
      <c r="A18" s="3" t="s">
        <v>73</v>
      </c>
      <c r="B18" s="3">
        <v>1016</v>
      </c>
      <c r="C18">
        <v>29</v>
      </c>
      <c r="D18">
        <v>5</v>
      </c>
      <c r="E18">
        <v>2024</v>
      </c>
      <c r="F18" s="4">
        <f t="shared" si="0"/>
        <v>45441</v>
      </c>
      <c r="G18" s="3" t="s">
        <v>74</v>
      </c>
      <c r="H18" s="3">
        <v>27</v>
      </c>
      <c r="I18" s="3" t="s">
        <v>32</v>
      </c>
      <c r="J18" s="3" t="s">
        <v>27</v>
      </c>
      <c r="K18" s="3" t="s">
        <v>38</v>
      </c>
      <c r="L18" s="3" t="s">
        <v>55</v>
      </c>
      <c r="M18" s="3">
        <v>288.07</v>
      </c>
      <c r="N18" s="3">
        <v>4</v>
      </c>
      <c r="O18" s="3">
        <v>0</v>
      </c>
      <c r="P18" s="3" t="s">
        <v>653</v>
      </c>
      <c r="Q18" s="3">
        <v>2</v>
      </c>
      <c r="R18" s="3">
        <v>8</v>
      </c>
      <c r="S18" s="3">
        <v>1152.28</v>
      </c>
      <c r="T18">
        <v>751.19349999999997</v>
      </c>
      <c r="U18">
        <v>1064.0640000000001</v>
      </c>
      <c r="V18">
        <v>1089.432</v>
      </c>
      <c r="W18">
        <v>3229.0920000000001</v>
      </c>
      <c r="X18">
        <v>1750.5239999999999</v>
      </c>
      <c r="Y18">
        <v>272.15300000000002</v>
      </c>
      <c r="Z18">
        <v>3690.4279999999999</v>
      </c>
    </row>
    <row r="19" spans="1:26" x14ac:dyDescent="0.35">
      <c r="A19" s="3" t="s">
        <v>75</v>
      </c>
      <c r="B19" s="3">
        <v>1017</v>
      </c>
      <c r="C19">
        <v>4</v>
      </c>
      <c r="D19">
        <v>11</v>
      </c>
      <c r="E19">
        <v>2024</v>
      </c>
      <c r="F19" s="4">
        <f t="shared" si="0"/>
        <v>45600</v>
      </c>
      <c r="G19" s="3" t="s">
        <v>76</v>
      </c>
      <c r="H19" s="3">
        <v>46</v>
      </c>
      <c r="I19" s="3" t="s">
        <v>32</v>
      </c>
      <c r="J19" s="3" t="s">
        <v>46</v>
      </c>
      <c r="K19" s="3" t="s">
        <v>34</v>
      </c>
      <c r="L19" s="3" t="s">
        <v>35</v>
      </c>
      <c r="M19" s="3">
        <v>1007.71</v>
      </c>
      <c r="N19" s="3">
        <v>4</v>
      </c>
      <c r="O19" s="3">
        <v>10</v>
      </c>
      <c r="P19" s="3" t="s">
        <v>29</v>
      </c>
      <c r="Q19" s="3">
        <v>3</v>
      </c>
      <c r="R19" s="3">
        <v>6</v>
      </c>
      <c r="S19" s="3">
        <v>3627.7559999999999</v>
      </c>
      <c r="T19">
        <v>1755.5239999999999</v>
      </c>
      <c r="U19">
        <v>750.19200000000001</v>
      </c>
      <c r="V19">
        <v>3822.7840000000001</v>
      </c>
      <c r="W19">
        <v>145.93899999999999</v>
      </c>
      <c r="X19">
        <v>228.24</v>
      </c>
      <c r="Y19">
        <v>883.93200000000002</v>
      </c>
      <c r="Z19">
        <v>384.81200000000001</v>
      </c>
    </row>
    <row r="20" spans="1:26" x14ac:dyDescent="0.35">
      <c r="A20" s="3" t="s">
        <v>77</v>
      </c>
      <c r="B20" s="3">
        <v>1018</v>
      </c>
      <c r="C20">
        <v>14</v>
      </c>
      <c r="D20">
        <v>9</v>
      </c>
      <c r="E20">
        <v>2024</v>
      </c>
      <c r="F20" s="4">
        <f t="shared" si="0"/>
        <v>45549</v>
      </c>
      <c r="G20" s="3" t="s">
        <v>78</v>
      </c>
      <c r="H20" s="3">
        <v>30</v>
      </c>
      <c r="I20" s="3" t="s">
        <v>32</v>
      </c>
      <c r="J20" s="3" t="s">
        <v>27</v>
      </c>
      <c r="K20" s="3" t="s">
        <v>22</v>
      </c>
      <c r="L20" s="3" t="s">
        <v>79</v>
      </c>
      <c r="M20" s="3">
        <v>349.55</v>
      </c>
      <c r="N20" s="3">
        <v>3</v>
      </c>
      <c r="O20" s="3">
        <v>10</v>
      </c>
      <c r="P20" s="3" t="s">
        <v>29</v>
      </c>
      <c r="Q20" s="3">
        <v>4</v>
      </c>
      <c r="R20" s="3">
        <v>3</v>
      </c>
      <c r="S20" s="3">
        <v>943.78499999999997</v>
      </c>
      <c r="T20">
        <v>1900.74</v>
      </c>
      <c r="U20">
        <v>2074.44</v>
      </c>
      <c r="V20">
        <v>311.24</v>
      </c>
      <c r="W20">
        <v>1743.6389999999999</v>
      </c>
      <c r="X20">
        <v>1801.836</v>
      </c>
      <c r="Y20">
        <v>1643.96</v>
      </c>
      <c r="Z20">
        <v>2729.16</v>
      </c>
    </row>
    <row r="21" spans="1:26" x14ac:dyDescent="0.35">
      <c r="A21" s="3" t="s">
        <v>80</v>
      </c>
      <c r="B21" s="3">
        <v>1019</v>
      </c>
      <c r="C21">
        <v>9</v>
      </c>
      <c r="D21">
        <v>12</v>
      </c>
      <c r="E21">
        <v>2024</v>
      </c>
      <c r="F21" s="4">
        <f t="shared" si="0"/>
        <v>45635</v>
      </c>
      <c r="G21" s="3" t="s">
        <v>81</v>
      </c>
      <c r="H21" s="3">
        <v>29</v>
      </c>
      <c r="I21" s="3" t="s">
        <v>20</v>
      </c>
      <c r="J21" s="3" t="s">
        <v>21</v>
      </c>
      <c r="K21" s="3" t="s">
        <v>22</v>
      </c>
      <c r="L21" s="3" t="s">
        <v>64</v>
      </c>
      <c r="M21" s="3">
        <v>778.6</v>
      </c>
      <c r="N21" s="3">
        <v>4</v>
      </c>
      <c r="O21" s="3">
        <v>0</v>
      </c>
      <c r="P21" s="3" t="s">
        <v>654</v>
      </c>
      <c r="Q21" s="3">
        <v>1</v>
      </c>
      <c r="R21" s="3">
        <v>6</v>
      </c>
      <c r="S21" s="3">
        <v>3114.4</v>
      </c>
      <c r="T21">
        <v>804.68</v>
      </c>
      <c r="U21">
        <v>759.12649999999996</v>
      </c>
      <c r="V21">
        <v>2952.0720000000001</v>
      </c>
      <c r="W21">
        <v>3862.5120000000002</v>
      </c>
      <c r="X21">
        <v>726.79</v>
      </c>
      <c r="Y21">
        <v>29.04</v>
      </c>
      <c r="Z21">
        <v>60.91</v>
      </c>
    </row>
    <row r="22" spans="1:26" x14ac:dyDescent="0.35">
      <c r="A22" s="3" t="s">
        <v>82</v>
      </c>
      <c r="B22" s="3">
        <v>1020</v>
      </c>
      <c r="C22">
        <v>20</v>
      </c>
      <c r="D22">
        <v>10</v>
      </c>
      <c r="E22">
        <v>2024</v>
      </c>
      <c r="F22" s="4">
        <f t="shared" si="0"/>
        <v>45585</v>
      </c>
      <c r="G22" s="3" t="s">
        <v>83</v>
      </c>
      <c r="H22" s="3">
        <v>48</v>
      </c>
      <c r="I22" s="3" t="s">
        <v>20</v>
      </c>
      <c r="J22" s="3" t="s">
        <v>27</v>
      </c>
      <c r="K22" s="3" t="s">
        <v>47</v>
      </c>
      <c r="L22" s="3" t="s">
        <v>55</v>
      </c>
      <c r="M22" s="3">
        <v>839.1</v>
      </c>
      <c r="N22" s="3">
        <v>2</v>
      </c>
      <c r="O22" s="3">
        <v>10</v>
      </c>
      <c r="P22" s="3" t="s">
        <v>29</v>
      </c>
      <c r="Q22" s="3">
        <v>2</v>
      </c>
      <c r="R22" s="3">
        <v>1</v>
      </c>
      <c r="S22" s="3">
        <v>1510.38</v>
      </c>
      <c r="T22">
        <v>384.9735</v>
      </c>
      <c r="U22">
        <v>82.5</v>
      </c>
      <c r="V22">
        <v>1691.52</v>
      </c>
      <c r="W22">
        <v>1295.4559999999999</v>
      </c>
      <c r="X22">
        <v>392.25</v>
      </c>
      <c r="Y22">
        <v>1499.88</v>
      </c>
      <c r="Z22">
        <v>1811.588</v>
      </c>
    </row>
    <row r="23" spans="1:26" x14ac:dyDescent="0.35">
      <c r="A23" s="3" t="s">
        <v>84</v>
      </c>
      <c r="B23" s="3">
        <v>1021</v>
      </c>
      <c r="C23">
        <v>10</v>
      </c>
      <c r="D23">
        <v>7</v>
      </c>
      <c r="E23">
        <v>2024</v>
      </c>
      <c r="F23" s="4">
        <f t="shared" si="0"/>
        <v>45483</v>
      </c>
      <c r="G23" s="3" t="s">
        <v>85</v>
      </c>
      <c r="H23" s="3">
        <v>19</v>
      </c>
      <c r="I23" s="3" t="s">
        <v>32</v>
      </c>
      <c r="J23" s="3" t="s">
        <v>27</v>
      </c>
      <c r="K23" s="3" t="s">
        <v>34</v>
      </c>
      <c r="L23" s="3" t="s">
        <v>23</v>
      </c>
      <c r="M23" s="3">
        <v>624.92999999999995</v>
      </c>
      <c r="N23" s="3">
        <v>3</v>
      </c>
      <c r="O23" s="3">
        <v>15</v>
      </c>
      <c r="P23" s="3" t="s">
        <v>653</v>
      </c>
      <c r="Q23" s="3">
        <v>5</v>
      </c>
      <c r="R23" s="3">
        <v>4</v>
      </c>
      <c r="S23" s="3">
        <v>1593.5715</v>
      </c>
      <c r="T23">
        <v>465.40050000000002</v>
      </c>
      <c r="U23">
        <v>1156.1199999999999</v>
      </c>
      <c r="V23">
        <v>1008.944</v>
      </c>
      <c r="W23">
        <v>625.221</v>
      </c>
      <c r="X23">
        <v>1019.521</v>
      </c>
      <c r="Y23">
        <v>1563.136</v>
      </c>
      <c r="Z23">
        <v>839.86199999999997</v>
      </c>
    </row>
    <row r="24" spans="1:26" x14ac:dyDescent="0.35">
      <c r="A24" s="3" t="s">
        <v>86</v>
      </c>
      <c r="B24" s="3">
        <v>1022</v>
      </c>
      <c r="C24">
        <v>3</v>
      </c>
      <c r="D24">
        <v>10</v>
      </c>
      <c r="E24">
        <v>2024</v>
      </c>
      <c r="F24" s="4">
        <f t="shared" si="0"/>
        <v>45568</v>
      </c>
      <c r="G24" s="3" t="s">
        <v>87</v>
      </c>
      <c r="H24" s="3">
        <v>52</v>
      </c>
      <c r="I24" s="3" t="s">
        <v>20</v>
      </c>
      <c r="J24" s="3" t="s">
        <v>51</v>
      </c>
      <c r="K24" s="3" t="s">
        <v>41</v>
      </c>
      <c r="L24" s="3" t="s">
        <v>55</v>
      </c>
      <c r="M24" s="3">
        <v>380.27</v>
      </c>
      <c r="N24" s="3">
        <v>4</v>
      </c>
      <c r="O24" s="3">
        <v>20</v>
      </c>
      <c r="P24" s="3" t="s">
        <v>29</v>
      </c>
      <c r="Q24" s="3">
        <v>1</v>
      </c>
      <c r="R24" s="3">
        <v>6</v>
      </c>
      <c r="S24" s="3">
        <v>1216.864</v>
      </c>
      <c r="T24">
        <v>563.22</v>
      </c>
      <c r="U24">
        <v>3334.386</v>
      </c>
      <c r="V24">
        <v>1425.33</v>
      </c>
      <c r="W24">
        <v>1629.57</v>
      </c>
      <c r="X24">
        <v>1251.829</v>
      </c>
      <c r="Y24">
        <v>208.709</v>
      </c>
      <c r="Z24">
        <v>457.56799999999998</v>
      </c>
    </row>
    <row r="25" spans="1:26" x14ac:dyDescent="0.35">
      <c r="A25" s="3" t="s">
        <v>88</v>
      </c>
      <c r="B25" s="3">
        <v>1023</v>
      </c>
      <c r="C25">
        <v>9</v>
      </c>
      <c r="D25">
        <v>6</v>
      </c>
      <c r="E25">
        <v>2024</v>
      </c>
      <c r="F25" s="4">
        <f t="shared" si="0"/>
        <v>45452</v>
      </c>
      <c r="G25" s="3" t="s">
        <v>89</v>
      </c>
      <c r="H25" s="3">
        <v>40</v>
      </c>
      <c r="I25" s="3" t="s">
        <v>20</v>
      </c>
      <c r="J25" s="3" t="s">
        <v>33</v>
      </c>
      <c r="K25" s="3" t="s">
        <v>34</v>
      </c>
      <c r="L25" s="3" t="s">
        <v>42</v>
      </c>
      <c r="M25" s="3">
        <v>270.92</v>
      </c>
      <c r="N25" s="3">
        <v>2</v>
      </c>
      <c r="O25" s="3">
        <v>20</v>
      </c>
      <c r="P25" s="3" t="s">
        <v>653</v>
      </c>
      <c r="Q25" s="3">
        <v>1</v>
      </c>
      <c r="R25" s="3">
        <v>7</v>
      </c>
      <c r="S25" s="3">
        <v>433.47199999999998</v>
      </c>
      <c r="T25">
        <v>936.17100000000005</v>
      </c>
      <c r="U25">
        <v>683.298</v>
      </c>
      <c r="V25">
        <v>657.24300000000005</v>
      </c>
      <c r="W25">
        <v>2288.4720000000002</v>
      </c>
      <c r="X25">
        <v>1950.597</v>
      </c>
      <c r="Y25">
        <v>618.75</v>
      </c>
      <c r="Z25">
        <v>1697.0325</v>
      </c>
    </row>
    <row r="26" spans="1:26" x14ac:dyDescent="0.35">
      <c r="A26" s="3" t="s">
        <v>90</v>
      </c>
      <c r="B26" s="3">
        <v>1024</v>
      </c>
      <c r="C26">
        <v>9</v>
      </c>
      <c r="D26">
        <v>11</v>
      </c>
      <c r="E26">
        <v>2024</v>
      </c>
      <c r="F26" s="4">
        <f t="shared" si="0"/>
        <v>45605</v>
      </c>
      <c r="G26" s="3" t="s">
        <v>91</v>
      </c>
      <c r="H26" s="3">
        <v>34</v>
      </c>
      <c r="I26" s="3" t="s">
        <v>32</v>
      </c>
      <c r="J26" s="3" t="s">
        <v>46</v>
      </c>
      <c r="K26" s="3" t="s">
        <v>22</v>
      </c>
      <c r="L26" s="3" t="s">
        <v>42</v>
      </c>
      <c r="M26" s="3">
        <v>59.16</v>
      </c>
      <c r="N26" s="3">
        <v>4</v>
      </c>
      <c r="O26" s="3">
        <v>0</v>
      </c>
      <c r="P26" s="3" t="s">
        <v>653</v>
      </c>
      <c r="Q26" s="3">
        <v>4</v>
      </c>
      <c r="R26" s="3">
        <v>3</v>
      </c>
      <c r="S26" s="3">
        <v>236.64</v>
      </c>
      <c r="T26">
        <v>2345.2399999999998</v>
      </c>
      <c r="U26">
        <v>1997.38</v>
      </c>
      <c r="V26">
        <v>2441.88</v>
      </c>
      <c r="W26">
        <v>311.10000000000002</v>
      </c>
      <c r="X26">
        <v>2099.1260000000002</v>
      </c>
      <c r="Y26">
        <v>2293.94</v>
      </c>
      <c r="Z26">
        <v>710.65800000000002</v>
      </c>
    </row>
    <row r="27" spans="1:26" x14ac:dyDescent="0.35">
      <c r="A27" s="3" t="s">
        <v>92</v>
      </c>
      <c r="B27" s="3">
        <v>1025</v>
      </c>
      <c r="C27">
        <v>22</v>
      </c>
      <c r="D27">
        <v>1</v>
      </c>
      <c r="E27">
        <v>2024</v>
      </c>
      <c r="F27" s="4">
        <f t="shared" si="0"/>
        <v>45313</v>
      </c>
      <c r="G27" s="3" t="s">
        <v>93</v>
      </c>
      <c r="H27" s="3">
        <v>43</v>
      </c>
      <c r="I27" s="3" t="s">
        <v>32</v>
      </c>
      <c r="J27" s="3" t="s">
        <v>27</v>
      </c>
      <c r="K27" s="3" t="s">
        <v>22</v>
      </c>
      <c r="L27" s="3" t="s">
        <v>79</v>
      </c>
      <c r="M27" s="3">
        <v>378.66</v>
      </c>
      <c r="N27" s="3">
        <v>4</v>
      </c>
      <c r="O27" s="3">
        <v>10</v>
      </c>
      <c r="P27" s="3" t="s">
        <v>654</v>
      </c>
      <c r="Q27" s="3">
        <v>2</v>
      </c>
      <c r="R27" s="3">
        <v>9</v>
      </c>
      <c r="S27" s="3">
        <v>1363.1759999999999</v>
      </c>
      <c r="T27">
        <v>150.65</v>
      </c>
      <c r="U27">
        <v>366.81599999999997</v>
      </c>
      <c r="V27">
        <v>806.65449999999998</v>
      </c>
      <c r="W27">
        <v>951.3</v>
      </c>
      <c r="X27">
        <v>1430.3679999999999</v>
      </c>
      <c r="Y27">
        <v>1541.9</v>
      </c>
      <c r="Z27">
        <v>2304.7199999999998</v>
      </c>
    </row>
    <row r="28" spans="1:26" x14ac:dyDescent="0.35">
      <c r="A28" s="3" t="s">
        <v>94</v>
      </c>
      <c r="B28" s="3">
        <v>1026</v>
      </c>
      <c r="C28">
        <v>9</v>
      </c>
      <c r="D28">
        <v>9</v>
      </c>
      <c r="E28">
        <v>2024</v>
      </c>
      <c r="F28" s="4">
        <f t="shared" si="0"/>
        <v>45544</v>
      </c>
      <c r="G28" s="3" t="s">
        <v>45</v>
      </c>
      <c r="H28" s="3">
        <v>25</v>
      </c>
      <c r="I28" s="3" t="s">
        <v>32</v>
      </c>
      <c r="J28" s="3" t="s">
        <v>46</v>
      </c>
      <c r="K28" s="3" t="s">
        <v>34</v>
      </c>
      <c r="L28" s="3" t="s">
        <v>55</v>
      </c>
      <c r="M28" s="3">
        <v>790.73</v>
      </c>
      <c r="N28" s="3">
        <v>1</v>
      </c>
      <c r="O28" s="3">
        <v>5</v>
      </c>
      <c r="P28" s="3" t="s">
        <v>24</v>
      </c>
      <c r="Q28" s="3">
        <v>3</v>
      </c>
      <c r="R28" s="3">
        <v>7</v>
      </c>
      <c r="S28" s="3">
        <v>751.19349999999997</v>
      </c>
      <c r="T28">
        <v>187.893</v>
      </c>
      <c r="U28">
        <v>1118.634</v>
      </c>
      <c r="V28">
        <v>540.30600000000004</v>
      </c>
      <c r="W28">
        <v>250.65</v>
      </c>
      <c r="X28">
        <v>1559.3579999999999</v>
      </c>
      <c r="Y28">
        <v>68.289000000000001</v>
      </c>
      <c r="Z28">
        <v>236.38399999999999</v>
      </c>
    </row>
    <row r="29" spans="1:26" x14ac:dyDescent="0.35">
      <c r="A29" s="3" t="s">
        <v>95</v>
      </c>
      <c r="B29" s="3">
        <v>1027</v>
      </c>
      <c r="C29">
        <v>23</v>
      </c>
      <c r="D29">
        <v>8</v>
      </c>
      <c r="E29">
        <v>2024</v>
      </c>
      <c r="F29" s="4">
        <f t="shared" si="0"/>
        <v>45527</v>
      </c>
      <c r="G29" s="3" t="s">
        <v>83</v>
      </c>
      <c r="H29" s="3">
        <v>46</v>
      </c>
      <c r="I29" s="3" t="s">
        <v>20</v>
      </c>
      <c r="J29" s="3" t="s">
        <v>27</v>
      </c>
      <c r="K29" s="3" t="s">
        <v>34</v>
      </c>
      <c r="L29" s="3" t="s">
        <v>96</v>
      </c>
      <c r="M29" s="3">
        <v>1127.2</v>
      </c>
      <c r="N29" s="3">
        <v>4</v>
      </c>
      <c r="O29" s="3">
        <v>5</v>
      </c>
      <c r="P29" s="3" t="s">
        <v>24</v>
      </c>
      <c r="Q29" s="3">
        <v>5</v>
      </c>
      <c r="R29" s="3">
        <v>1</v>
      </c>
      <c r="S29" s="3">
        <v>4283.3599999999997</v>
      </c>
      <c r="T29">
        <v>2206.66</v>
      </c>
      <c r="U29">
        <v>107.128</v>
      </c>
      <c r="V29">
        <v>2498.36</v>
      </c>
      <c r="W29">
        <v>1245.4880000000001</v>
      </c>
      <c r="X29">
        <v>2518.2399999999998</v>
      </c>
      <c r="Y29">
        <v>1391.712</v>
      </c>
      <c r="Z29">
        <v>1166.4100000000001</v>
      </c>
    </row>
    <row r="30" spans="1:26" x14ac:dyDescent="0.35">
      <c r="A30" s="3" t="s">
        <v>97</v>
      </c>
      <c r="B30" s="3">
        <v>1028</v>
      </c>
      <c r="C30">
        <v>10</v>
      </c>
      <c r="D30">
        <v>12</v>
      </c>
      <c r="E30">
        <v>2024</v>
      </c>
      <c r="F30" s="4">
        <f t="shared" si="0"/>
        <v>45636</v>
      </c>
      <c r="G30" s="3" t="s">
        <v>98</v>
      </c>
      <c r="H30" s="3">
        <v>43</v>
      </c>
      <c r="I30" s="3" t="s">
        <v>20</v>
      </c>
      <c r="J30" s="3" t="s">
        <v>21</v>
      </c>
      <c r="K30" s="3" t="s">
        <v>22</v>
      </c>
      <c r="L30" s="3" t="s">
        <v>35</v>
      </c>
      <c r="M30" s="3">
        <v>1048.02</v>
      </c>
      <c r="N30" s="3">
        <v>4</v>
      </c>
      <c r="O30" s="3">
        <v>10</v>
      </c>
      <c r="P30" s="3" t="s">
        <v>654</v>
      </c>
      <c r="Q30" s="3">
        <v>2</v>
      </c>
      <c r="R30" s="3">
        <v>2</v>
      </c>
      <c r="S30" s="3">
        <v>3772.8719999999998</v>
      </c>
      <c r="T30">
        <v>700.88</v>
      </c>
      <c r="U30">
        <v>1276.6659999999999</v>
      </c>
      <c r="V30">
        <v>1705.3920000000001</v>
      </c>
      <c r="W30">
        <v>4527.7759999999998</v>
      </c>
      <c r="X30">
        <v>3022.569</v>
      </c>
      <c r="Y30">
        <v>387.15800000000002</v>
      </c>
      <c r="Z30">
        <v>1259.2239999999999</v>
      </c>
    </row>
    <row r="31" spans="1:26" x14ac:dyDescent="0.35">
      <c r="A31" s="3" t="s">
        <v>99</v>
      </c>
      <c r="B31" s="3">
        <v>1029</v>
      </c>
      <c r="C31">
        <v>18</v>
      </c>
      <c r="D31">
        <v>2</v>
      </c>
      <c r="E31">
        <v>2024</v>
      </c>
      <c r="F31" s="4">
        <f t="shared" si="0"/>
        <v>45340</v>
      </c>
      <c r="G31" s="3" t="s">
        <v>100</v>
      </c>
      <c r="H31" s="3">
        <v>27</v>
      </c>
      <c r="I31" s="3" t="s">
        <v>32</v>
      </c>
      <c r="J31" s="3" t="s">
        <v>27</v>
      </c>
      <c r="K31" s="3" t="s">
        <v>41</v>
      </c>
      <c r="L31" s="3" t="s">
        <v>42</v>
      </c>
      <c r="M31" s="3">
        <v>923.96</v>
      </c>
      <c r="N31" s="3">
        <v>2</v>
      </c>
      <c r="O31" s="3">
        <v>5</v>
      </c>
      <c r="P31" s="3" t="s">
        <v>29</v>
      </c>
      <c r="Q31" s="3">
        <v>5</v>
      </c>
      <c r="R31" s="3">
        <v>1</v>
      </c>
      <c r="S31" s="3">
        <v>1755.5239999999999</v>
      </c>
      <c r="T31">
        <v>981.19799999999998</v>
      </c>
      <c r="U31">
        <v>1112.22</v>
      </c>
      <c r="V31">
        <v>4109.8680000000004</v>
      </c>
      <c r="W31">
        <v>1717</v>
      </c>
      <c r="X31">
        <v>2394.0479999999998</v>
      </c>
      <c r="Y31">
        <v>154.6695</v>
      </c>
      <c r="Z31">
        <v>75.525000000000006</v>
      </c>
    </row>
    <row r="32" spans="1:26" x14ac:dyDescent="0.35">
      <c r="A32" s="3" t="s">
        <v>101</v>
      </c>
      <c r="B32" s="3">
        <v>1030</v>
      </c>
      <c r="C32">
        <v>28</v>
      </c>
      <c r="D32">
        <v>2</v>
      </c>
      <c r="E32">
        <v>2024</v>
      </c>
      <c r="F32" s="4">
        <f t="shared" si="0"/>
        <v>45350</v>
      </c>
      <c r="G32" s="3" t="s">
        <v>102</v>
      </c>
      <c r="H32" s="3"/>
      <c r="I32" s="3" t="s">
        <v>32</v>
      </c>
      <c r="J32" s="3" t="s">
        <v>655</v>
      </c>
      <c r="K32" s="3" t="s">
        <v>47</v>
      </c>
      <c r="L32" s="3" t="s">
        <v>79</v>
      </c>
      <c r="M32" s="3">
        <v>950.37</v>
      </c>
      <c r="N32" s="3">
        <v>2</v>
      </c>
      <c r="O32" s="3">
        <v>0</v>
      </c>
      <c r="P32" s="3" t="s">
        <v>654</v>
      </c>
      <c r="Q32" s="3"/>
      <c r="R32" s="3">
        <v>9</v>
      </c>
      <c r="S32" s="3">
        <v>1900.74</v>
      </c>
      <c r="T32">
        <v>328.33800000000002</v>
      </c>
      <c r="U32">
        <v>373.9</v>
      </c>
      <c r="V32">
        <v>166.70699999999999</v>
      </c>
      <c r="W32">
        <v>365.80700000000002</v>
      </c>
      <c r="X32">
        <v>293.22699999999998</v>
      </c>
      <c r="Y32">
        <v>275.06400000000002</v>
      </c>
      <c r="Z32">
        <v>50.664000000000001</v>
      </c>
    </row>
    <row r="33" spans="1:26" x14ac:dyDescent="0.35">
      <c r="A33" s="3" t="s">
        <v>103</v>
      </c>
      <c r="B33" s="3">
        <v>1031</v>
      </c>
      <c r="C33">
        <v>18</v>
      </c>
      <c r="D33">
        <v>6</v>
      </c>
      <c r="E33">
        <v>2024</v>
      </c>
      <c r="F33" s="4">
        <f t="shared" si="0"/>
        <v>45461</v>
      </c>
      <c r="G33" s="3" t="s">
        <v>104</v>
      </c>
      <c r="H33" s="3">
        <v>51</v>
      </c>
      <c r="I33" s="3" t="s">
        <v>32</v>
      </c>
      <c r="J33" s="3" t="s">
        <v>33</v>
      </c>
      <c r="K33" s="3" t="s">
        <v>47</v>
      </c>
      <c r="L33" s="3" t="s">
        <v>35</v>
      </c>
      <c r="M33" s="3">
        <v>804.68</v>
      </c>
      <c r="N33" s="3">
        <v>1</v>
      </c>
      <c r="O33" s="3">
        <v>0</v>
      </c>
      <c r="P33" s="3" t="s">
        <v>653</v>
      </c>
      <c r="Q33" s="3">
        <v>4</v>
      </c>
      <c r="R33" s="3">
        <v>9</v>
      </c>
      <c r="S33" s="3">
        <v>804.68</v>
      </c>
      <c r="T33">
        <v>2189.42</v>
      </c>
      <c r="U33">
        <v>3229.0920000000001</v>
      </c>
      <c r="V33">
        <v>1884.192</v>
      </c>
      <c r="W33">
        <v>2529.7784999999999</v>
      </c>
      <c r="X33">
        <v>572.26099999999997</v>
      </c>
      <c r="Y33">
        <v>648.46799999999996</v>
      </c>
      <c r="Z33">
        <v>3154.74</v>
      </c>
    </row>
    <row r="34" spans="1:26" x14ac:dyDescent="0.35">
      <c r="A34" s="3" t="s">
        <v>105</v>
      </c>
      <c r="B34" s="3">
        <v>1032</v>
      </c>
      <c r="C34">
        <v>6</v>
      </c>
      <c r="D34">
        <v>7</v>
      </c>
      <c r="E34">
        <v>2024</v>
      </c>
      <c r="F34" s="4">
        <f t="shared" si="0"/>
        <v>45479</v>
      </c>
      <c r="G34" s="3" t="s">
        <v>85</v>
      </c>
      <c r="H34" s="3">
        <v>58</v>
      </c>
      <c r="I34" s="3" t="s">
        <v>20</v>
      </c>
      <c r="J34" s="3" t="s">
        <v>21</v>
      </c>
      <c r="K34" s="3" t="s">
        <v>34</v>
      </c>
      <c r="L34" s="3" t="s">
        <v>55</v>
      </c>
      <c r="M34" s="3">
        <v>327.14</v>
      </c>
      <c r="N34" s="3">
        <v>4</v>
      </c>
      <c r="O34" s="3">
        <v>10</v>
      </c>
      <c r="P34" s="3" t="s">
        <v>24</v>
      </c>
      <c r="Q34" s="3">
        <v>4</v>
      </c>
      <c r="R34" s="3">
        <v>7</v>
      </c>
      <c r="S34" s="3">
        <v>1177.704</v>
      </c>
      <c r="T34">
        <v>3456.7840000000001</v>
      </c>
      <c r="U34">
        <v>1743.6389999999999</v>
      </c>
      <c r="V34">
        <v>251.4</v>
      </c>
      <c r="W34">
        <v>58.994999999999997</v>
      </c>
      <c r="X34">
        <v>2715.7440000000001</v>
      </c>
      <c r="Y34">
        <v>2085.5920000000001</v>
      </c>
      <c r="Z34">
        <v>700.64</v>
      </c>
    </row>
    <row r="35" spans="1:26" x14ac:dyDescent="0.35">
      <c r="A35" s="3" t="s">
        <v>106</v>
      </c>
      <c r="B35" s="3">
        <v>1033</v>
      </c>
      <c r="C35">
        <v>27</v>
      </c>
      <c r="D35">
        <v>9</v>
      </c>
      <c r="E35">
        <v>2024</v>
      </c>
      <c r="F35" s="4">
        <f t="shared" si="0"/>
        <v>45562</v>
      </c>
      <c r="G35" s="3" t="s">
        <v>107</v>
      </c>
      <c r="H35" s="3">
        <v>24</v>
      </c>
      <c r="I35" s="3" t="s">
        <v>20</v>
      </c>
      <c r="J35" s="3" t="s">
        <v>27</v>
      </c>
      <c r="K35" s="3" t="s">
        <v>47</v>
      </c>
      <c r="L35" s="3" t="s">
        <v>55</v>
      </c>
      <c r="M35" s="3">
        <v>1090.49</v>
      </c>
      <c r="N35" s="3">
        <v>1</v>
      </c>
      <c r="O35" s="3">
        <v>5</v>
      </c>
      <c r="P35" s="3" t="s">
        <v>654</v>
      </c>
      <c r="Q35" s="3"/>
      <c r="R35" s="3">
        <v>3</v>
      </c>
      <c r="S35" s="3">
        <v>1035.9655</v>
      </c>
      <c r="T35">
        <v>1551.664</v>
      </c>
      <c r="U35">
        <v>644.46299999999997</v>
      </c>
      <c r="V35">
        <v>842.904</v>
      </c>
      <c r="W35">
        <v>155.1</v>
      </c>
      <c r="X35">
        <v>1383.96</v>
      </c>
      <c r="Y35">
        <v>880.6</v>
      </c>
      <c r="Z35">
        <v>653.94200000000001</v>
      </c>
    </row>
    <row r="36" spans="1:26" x14ac:dyDescent="0.35">
      <c r="A36" s="3" t="s">
        <v>108</v>
      </c>
      <c r="B36" s="3">
        <v>1034</v>
      </c>
      <c r="C36">
        <v>8</v>
      </c>
      <c r="D36">
        <v>7</v>
      </c>
      <c r="E36">
        <v>2024</v>
      </c>
      <c r="F36" s="4">
        <f t="shared" si="0"/>
        <v>45481</v>
      </c>
      <c r="G36" s="3" t="s">
        <v>109</v>
      </c>
      <c r="H36" s="3">
        <v>21</v>
      </c>
      <c r="I36" s="3" t="s">
        <v>20</v>
      </c>
      <c r="J36" s="3" t="s">
        <v>46</v>
      </c>
      <c r="K36" s="3" t="s">
        <v>22</v>
      </c>
      <c r="L36" s="3" t="s">
        <v>48</v>
      </c>
      <c r="M36" s="3">
        <v>811.46</v>
      </c>
      <c r="N36" s="3">
        <v>4</v>
      </c>
      <c r="O36" s="3">
        <v>0</v>
      </c>
      <c r="P36" s="3" t="s">
        <v>29</v>
      </c>
      <c r="Q36" s="3">
        <v>3</v>
      </c>
      <c r="R36" s="3">
        <v>5</v>
      </c>
      <c r="S36" s="3">
        <v>3245.84</v>
      </c>
      <c r="T36">
        <v>845.28</v>
      </c>
      <c r="U36">
        <v>384.81200000000001</v>
      </c>
      <c r="V36">
        <v>265.44600000000003</v>
      </c>
      <c r="W36">
        <v>1591.326</v>
      </c>
      <c r="X36">
        <v>1380.096</v>
      </c>
      <c r="Y36">
        <v>1029.915</v>
      </c>
      <c r="Z36">
        <v>4363.92</v>
      </c>
    </row>
    <row r="37" spans="1:26" x14ac:dyDescent="0.35">
      <c r="A37" s="3" t="s">
        <v>110</v>
      </c>
      <c r="B37" s="3">
        <v>1035</v>
      </c>
      <c r="C37">
        <v>23</v>
      </c>
      <c r="D37">
        <v>6</v>
      </c>
      <c r="E37">
        <v>2024</v>
      </c>
      <c r="F37" s="4">
        <f t="shared" si="0"/>
        <v>45466</v>
      </c>
      <c r="G37" s="3" t="s">
        <v>111</v>
      </c>
      <c r="H37" s="3">
        <v>28</v>
      </c>
      <c r="I37" s="3" t="s">
        <v>20</v>
      </c>
      <c r="J37" s="3" t="s">
        <v>21</v>
      </c>
      <c r="K37" s="3" t="s">
        <v>22</v>
      </c>
      <c r="L37" s="3" t="s">
        <v>79</v>
      </c>
      <c r="M37" s="3">
        <v>681.32</v>
      </c>
      <c r="N37" s="3">
        <v>3</v>
      </c>
      <c r="O37" s="3">
        <v>0</v>
      </c>
      <c r="P37" s="3" t="s">
        <v>654</v>
      </c>
      <c r="Q37" s="3">
        <v>4</v>
      </c>
      <c r="R37" s="3">
        <v>4</v>
      </c>
      <c r="S37" s="3">
        <v>2043.96</v>
      </c>
      <c r="T37">
        <v>1049.8499999999999</v>
      </c>
      <c r="U37">
        <v>2729.16</v>
      </c>
      <c r="V37">
        <v>797.73400000000004</v>
      </c>
      <c r="W37">
        <v>1954.568</v>
      </c>
      <c r="X37">
        <v>3956.04</v>
      </c>
      <c r="Y37">
        <v>923.94</v>
      </c>
      <c r="Z37">
        <v>700.46349999999995</v>
      </c>
    </row>
    <row r="38" spans="1:26" x14ac:dyDescent="0.35">
      <c r="A38" s="3" t="s">
        <v>112</v>
      </c>
      <c r="B38" s="3">
        <v>1036</v>
      </c>
      <c r="C38">
        <v>20</v>
      </c>
      <c r="D38">
        <v>2</v>
      </c>
      <c r="E38">
        <v>2024</v>
      </c>
      <c r="F38" s="4">
        <f t="shared" si="0"/>
        <v>45342</v>
      </c>
      <c r="G38" s="3" t="s">
        <v>113</v>
      </c>
      <c r="H38" s="3">
        <v>46</v>
      </c>
      <c r="I38" s="3" t="s">
        <v>32</v>
      </c>
      <c r="J38" s="3" t="s">
        <v>21</v>
      </c>
      <c r="K38" s="3" t="s">
        <v>34</v>
      </c>
      <c r="L38" s="3" t="s">
        <v>42</v>
      </c>
      <c r="M38" s="3">
        <v>150.97</v>
      </c>
      <c r="N38" s="3">
        <v>3</v>
      </c>
      <c r="O38" s="3">
        <v>15</v>
      </c>
      <c r="P38" s="3" t="s">
        <v>24</v>
      </c>
      <c r="Q38" s="3">
        <v>1</v>
      </c>
      <c r="R38" s="3">
        <v>7</v>
      </c>
      <c r="S38" s="3">
        <v>384.9735</v>
      </c>
      <c r="T38">
        <v>2168.3924999999999</v>
      </c>
      <c r="U38">
        <v>2287.116</v>
      </c>
      <c r="V38">
        <v>3287.97</v>
      </c>
      <c r="W38">
        <v>2426.7600000000002</v>
      </c>
      <c r="X38">
        <v>1118.5065</v>
      </c>
      <c r="Y38">
        <v>1712.4960000000001</v>
      </c>
      <c r="Z38">
        <v>583.16399999999999</v>
      </c>
    </row>
    <row r="39" spans="1:26" x14ac:dyDescent="0.35">
      <c r="A39" s="3" t="s">
        <v>114</v>
      </c>
      <c r="B39" s="3">
        <v>1037</v>
      </c>
      <c r="C39">
        <v>29</v>
      </c>
      <c r="D39">
        <v>12</v>
      </c>
      <c r="E39">
        <v>2024</v>
      </c>
      <c r="F39" s="4">
        <f t="shared" si="0"/>
        <v>45655</v>
      </c>
      <c r="G39" s="3" t="s">
        <v>76</v>
      </c>
      <c r="H39" s="3">
        <v>53</v>
      </c>
      <c r="I39" s="3" t="s">
        <v>32</v>
      </c>
      <c r="J39" s="3" t="s">
        <v>27</v>
      </c>
      <c r="K39" s="3" t="s">
        <v>34</v>
      </c>
      <c r="L39" s="3" t="s">
        <v>96</v>
      </c>
      <c r="M39" s="3">
        <v>547.53</v>
      </c>
      <c r="N39" s="3">
        <v>1</v>
      </c>
      <c r="O39" s="3">
        <v>15</v>
      </c>
      <c r="P39" s="3" t="s">
        <v>654</v>
      </c>
      <c r="Q39" s="3">
        <v>3</v>
      </c>
      <c r="R39" s="3">
        <v>9</v>
      </c>
      <c r="S39" s="3">
        <v>465.40050000000002</v>
      </c>
      <c r="T39">
        <v>1099.548</v>
      </c>
      <c r="U39">
        <v>228.24</v>
      </c>
      <c r="V39">
        <v>695.02</v>
      </c>
      <c r="W39">
        <v>380.0095</v>
      </c>
      <c r="X39">
        <v>2377.0880000000002</v>
      </c>
      <c r="Y39">
        <v>1603.258</v>
      </c>
      <c r="Z39">
        <v>81.215999999999994</v>
      </c>
    </row>
    <row r="40" spans="1:26" x14ac:dyDescent="0.35">
      <c r="A40" s="3" t="s">
        <v>115</v>
      </c>
      <c r="B40" s="3">
        <v>1038</v>
      </c>
      <c r="C40">
        <v>24</v>
      </c>
      <c r="D40">
        <v>2</v>
      </c>
      <c r="E40">
        <v>2024</v>
      </c>
      <c r="F40" s="4">
        <f t="shared" si="0"/>
        <v>45346</v>
      </c>
      <c r="G40" s="3" t="s">
        <v>116</v>
      </c>
      <c r="H40" s="3">
        <v>42</v>
      </c>
      <c r="I40" s="3" t="s">
        <v>32</v>
      </c>
      <c r="J40" s="3" t="s">
        <v>21</v>
      </c>
      <c r="K40" s="3" t="s">
        <v>34</v>
      </c>
      <c r="L40" s="3" t="s">
        <v>55</v>
      </c>
      <c r="M40" s="3">
        <v>563.22</v>
      </c>
      <c r="N40" s="3">
        <v>1</v>
      </c>
      <c r="O40" s="3">
        <v>0</v>
      </c>
      <c r="P40" s="3" t="s">
        <v>654</v>
      </c>
      <c r="Q40" s="3">
        <v>2</v>
      </c>
      <c r="R40" s="3">
        <v>2</v>
      </c>
      <c r="S40" s="3">
        <v>563.22</v>
      </c>
      <c r="T40">
        <v>69.28</v>
      </c>
      <c r="U40">
        <v>1801.836</v>
      </c>
      <c r="V40">
        <v>1623.9680000000001</v>
      </c>
      <c r="W40">
        <v>2774.1239999999998</v>
      </c>
      <c r="X40">
        <v>3147.444</v>
      </c>
      <c r="Y40">
        <v>706.63049999999998</v>
      </c>
      <c r="Z40">
        <v>2366.0129999999999</v>
      </c>
    </row>
    <row r="41" spans="1:26" x14ac:dyDescent="0.35">
      <c r="A41" s="3" t="s">
        <v>117</v>
      </c>
      <c r="B41" s="3">
        <v>1039</v>
      </c>
      <c r="C41">
        <v>31</v>
      </c>
      <c r="D41">
        <v>8</v>
      </c>
      <c r="E41">
        <v>2024</v>
      </c>
      <c r="F41" s="4">
        <f t="shared" si="0"/>
        <v>45535</v>
      </c>
      <c r="G41" s="3" t="s">
        <v>118</v>
      </c>
      <c r="H41" s="3">
        <v>38</v>
      </c>
      <c r="I41" s="3" t="s">
        <v>32</v>
      </c>
      <c r="J41" s="3" t="s">
        <v>46</v>
      </c>
      <c r="K41" s="3" t="s">
        <v>41</v>
      </c>
      <c r="L41" s="3" t="s">
        <v>96</v>
      </c>
      <c r="M41" s="3">
        <v>1040.19</v>
      </c>
      <c r="N41" s="3">
        <v>1</v>
      </c>
      <c r="O41" s="3">
        <v>10</v>
      </c>
      <c r="P41" s="3" t="s">
        <v>24</v>
      </c>
      <c r="Q41" s="3">
        <v>4</v>
      </c>
      <c r="R41" s="3">
        <v>8</v>
      </c>
      <c r="S41" s="3">
        <v>936.17100000000005</v>
      </c>
      <c r="T41">
        <v>2292.6</v>
      </c>
      <c r="U41">
        <v>2952.0720000000001</v>
      </c>
      <c r="V41">
        <v>1242.624</v>
      </c>
      <c r="W41">
        <v>1996.8240000000001</v>
      </c>
      <c r="X41">
        <v>146.03399999999999</v>
      </c>
      <c r="Y41">
        <v>1047.9480000000001</v>
      </c>
      <c r="Z41">
        <v>3263.0039999999999</v>
      </c>
    </row>
    <row r="42" spans="1:26" x14ac:dyDescent="0.35">
      <c r="A42" s="3" t="s">
        <v>119</v>
      </c>
      <c r="B42" s="3">
        <v>1040</v>
      </c>
      <c r="C42">
        <v>15</v>
      </c>
      <c r="D42">
        <v>11</v>
      </c>
      <c r="E42">
        <v>2024</v>
      </c>
      <c r="F42" s="4">
        <f t="shared" si="0"/>
        <v>45611</v>
      </c>
      <c r="G42" s="3" t="s">
        <v>54</v>
      </c>
      <c r="H42" s="3">
        <v>53</v>
      </c>
      <c r="I42" s="3" t="s">
        <v>20</v>
      </c>
      <c r="J42" s="3" t="s">
        <v>21</v>
      </c>
      <c r="K42" s="3" t="s">
        <v>47</v>
      </c>
      <c r="L42" s="3" t="s">
        <v>55</v>
      </c>
      <c r="M42" s="3">
        <v>665.04</v>
      </c>
      <c r="N42" s="3">
        <v>2</v>
      </c>
      <c r="O42" s="3">
        <v>20</v>
      </c>
      <c r="P42" s="3" t="s">
        <v>653</v>
      </c>
      <c r="Q42" s="3">
        <v>3</v>
      </c>
      <c r="R42" s="3">
        <v>9</v>
      </c>
      <c r="S42" s="3">
        <v>1064.0640000000001</v>
      </c>
      <c r="T42">
        <v>580.84799999999996</v>
      </c>
      <c r="U42">
        <v>998.56</v>
      </c>
      <c r="V42">
        <v>1276.9110000000001</v>
      </c>
      <c r="W42">
        <v>650.08000000000004</v>
      </c>
      <c r="X42">
        <v>375.44</v>
      </c>
      <c r="Y42">
        <v>1704.096</v>
      </c>
      <c r="Z42">
        <v>373.64400000000001</v>
      </c>
    </row>
    <row r="43" spans="1:26" x14ac:dyDescent="0.35">
      <c r="A43" s="3" t="s">
        <v>120</v>
      </c>
      <c r="B43" s="3">
        <v>1041</v>
      </c>
      <c r="C43">
        <v>10</v>
      </c>
      <c r="D43">
        <v>5</v>
      </c>
      <c r="E43">
        <v>2024</v>
      </c>
      <c r="F43" s="4">
        <f t="shared" si="0"/>
        <v>45422</v>
      </c>
      <c r="G43" s="3" t="s">
        <v>89</v>
      </c>
      <c r="H43" s="3">
        <v>27</v>
      </c>
      <c r="I43" s="3" t="s">
        <v>20</v>
      </c>
      <c r="J43" s="3" t="s">
        <v>46</v>
      </c>
      <c r="K43" s="3" t="s">
        <v>34</v>
      </c>
      <c r="L43" s="3" t="s">
        <v>42</v>
      </c>
      <c r="M43" s="3">
        <v>468.87</v>
      </c>
      <c r="N43" s="3">
        <v>2</v>
      </c>
      <c r="O43" s="3">
        <v>20</v>
      </c>
      <c r="P43" s="3" t="s">
        <v>653</v>
      </c>
      <c r="Q43" s="3">
        <v>1</v>
      </c>
      <c r="R43" s="3">
        <v>9</v>
      </c>
      <c r="S43" s="3">
        <v>750.19200000000001</v>
      </c>
      <c r="T43">
        <v>145.93899999999999</v>
      </c>
      <c r="U43">
        <v>1691.52</v>
      </c>
      <c r="V43">
        <v>3091.9364999999998</v>
      </c>
      <c r="W43">
        <v>331.33499999999998</v>
      </c>
      <c r="X43">
        <v>1008.9160000000001</v>
      </c>
      <c r="Y43">
        <v>578.096</v>
      </c>
      <c r="Z43">
        <v>4072.4639999999999</v>
      </c>
    </row>
    <row r="44" spans="1:26" x14ac:dyDescent="0.35">
      <c r="A44" s="3" t="s">
        <v>121</v>
      </c>
      <c r="B44" s="3">
        <v>1042</v>
      </c>
      <c r="C44">
        <v>2</v>
      </c>
      <c r="D44">
        <v>11</v>
      </c>
      <c r="E44">
        <v>2024</v>
      </c>
      <c r="F44" s="4">
        <f t="shared" si="0"/>
        <v>45598</v>
      </c>
      <c r="G44" s="3" t="s">
        <v>122</v>
      </c>
      <c r="H44" s="3">
        <v>54</v>
      </c>
      <c r="I44" s="3" t="s">
        <v>32</v>
      </c>
      <c r="J44" s="3" t="s">
        <v>27</v>
      </c>
      <c r="K44" s="3" t="s">
        <v>38</v>
      </c>
      <c r="L44" s="3" t="s">
        <v>35</v>
      </c>
      <c r="M44" s="3">
        <v>1172.6199999999999</v>
      </c>
      <c r="N44" s="3">
        <v>2</v>
      </c>
      <c r="O44" s="3">
        <v>0</v>
      </c>
      <c r="P44" s="3" t="s">
        <v>24</v>
      </c>
      <c r="Q44" s="3"/>
      <c r="R44" s="3">
        <v>7</v>
      </c>
      <c r="S44" s="3">
        <v>2345.2399999999998</v>
      </c>
      <c r="T44">
        <v>3690.4279999999999</v>
      </c>
      <c r="U44">
        <v>625.221</v>
      </c>
      <c r="V44">
        <v>60.857999999999997</v>
      </c>
      <c r="W44">
        <v>3345.596</v>
      </c>
      <c r="X44">
        <v>561.476</v>
      </c>
      <c r="Y44">
        <v>4591.92</v>
      </c>
      <c r="Z44">
        <v>2093.1165000000001</v>
      </c>
    </row>
    <row r="45" spans="1:26" x14ac:dyDescent="0.35">
      <c r="A45" s="3" t="s">
        <v>123</v>
      </c>
      <c r="B45" s="3">
        <v>1043</v>
      </c>
      <c r="C45">
        <v>14</v>
      </c>
      <c r="D45">
        <v>5</v>
      </c>
      <c r="E45">
        <v>2024</v>
      </c>
      <c r="F45" s="4">
        <f t="shared" si="0"/>
        <v>45426</v>
      </c>
      <c r="G45" s="3" t="s">
        <v>124</v>
      </c>
      <c r="H45" s="3">
        <v>26</v>
      </c>
      <c r="I45" s="3" t="s">
        <v>32</v>
      </c>
      <c r="J45" s="3" t="s">
        <v>33</v>
      </c>
      <c r="K45" s="3" t="s">
        <v>38</v>
      </c>
      <c r="L45" s="3" t="s">
        <v>125</v>
      </c>
      <c r="M45" s="3">
        <v>150.65</v>
      </c>
      <c r="N45" s="3">
        <v>1</v>
      </c>
      <c r="O45" s="3">
        <v>0</v>
      </c>
      <c r="P45" s="3" t="s">
        <v>654</v>
      </c>
      <c r="Q45" s="3">
        <v>5</v>
      </c>
      <c r="R45" s="3">
        <v>9</v>
      </c>
      <c r="S45" s="3">
        <v>150.65</v>
      </c>
      <c r="T45">
        <v>1535.2190000000001</v>
      </c>
      <c r="U45">
        <v>1008.944</v>
      </c>
      <c r="V45">
        <v>229.15199999999999</v>
      </c>
      <c r="W45">
        <v>1579.4</v>
      </c>
      <c r="X45">
        <v>1147.338</v>
      </c>
      <c r="Y45">
        <v>2834.7359999999999</v>
      </c>
      <c r="Z45">
        <v>81.472499999999997</v>
      </c>
    </row>
    <row r="46" spans="1:26" x14ac:dyDescent="0.35">
      <c r="A46" s="3" t="s">
        <v>126</v>
      </c>
      <c r="B46" s="3">
        <v>1044</v>
      </c>
      <c r="C46">
        <v>21</v>
      </c>
      <c r="D46">
        <v>1</v>
      </c>
      <c r="E46">
        <v>2024</v>
      </c>
      <c r="F46" s="4">
        <f t="shared" si="0"/>
        <v>45312</v>
      </c>
      <c r="G46" s="3" t="s">
        <v>26</v>
      </c>
      <c r="H46" s="3">
        <v>41</v>
      </c>
      <c r="I46" s="3" t="s">
        <v>20</v>
      </c>
      <c r="J46" s="3" t="s">
        <v>21</v>
      </c>
      <c r="K46" s="3" t="s">
        <v>22</v>
      </c>
      <c r="L46" s="3" t="s">
        <v>35</v>
      </c>
      <c r="M46" s="3">
        <v>518.61</v>
      </c>
      <c r="N46" s="3">
        <v>4</v>
      </c>
      <c r="O46" s="3">
        <v>0</v>
      </c>
      <c r="P46" s="3" t="s">
        <v>24</v>
      </c>
      <c r="Q46" s="3">
        <v>5</v>
      </c>
      <c r="R46" s="3">
        <v>9</v>
      </c>
      <c r="S46" s="3">
        <v>2074.44</v>
      </c>
      <c r="T46">
        <v>720</v>
      </c>
      <c r="U46">
        <v>1425.33</v>
      </c>
      <c r="V46">
        <v>1339.424</v>
      </c>
      <c r="W46">
        <v>966.91949999999997</v>
      </c>
      <c r="X46">
        <v>551.91999999999996</v>
      </c>
      <c r="Y46">
        <v>3116.1779999999999</v>
      </c>
      <c r="Z46">
        <v>295.2</v>
      </c>
    </row>
    <row r="47" spans="1:26" x14ac:dyDescent="0.35">
      <c r="A47" s="3" t="s">
        <v>127</v>
      </c>
      <c r="B47" s="3">
        <v>1045</v>
      </c>
      <c r="C47">
        <v>24</v>
      </c>
      <c r="D47">
        <v>11</v>
      </c>
      <c r="E47">
        <v>2024</v>
      </c>
      <c r="F47" s="4">
        <f t="shared" si="0"/>
        <v>45620</v>
      </c>
      <c r="G47" s="3" t="s">
        <v>128</v>
      </c>
      <c r="H47" s="3">
        <v>52</v>
      </c>
      <c r="I47" s="3" t="s">
        <v>32</v>
      </c>
      <c r="J47" s="3" t="s">
        <v>33</v>
      </c>
      <c r="K47" s="3" t="s">
        <v>47</v>
      </c>
      <c r="L47" s="3" t="s">
        <v>55</v>
      </c>
      <c r="M47" s="3">
        <v>69.59</v>
      </c>
      <c r="N47" s="3">
        <v>3</v>
      </c>
      <c r="O47" s="3">
        <v>10</v>
      </c>
      <c r="P47" s="3" t="s">
        <v>653</v>
      </c>
      <c r="Q47" s="3">
        <v>1</v>
      </c>
      <c r="R47" s="3">
        <v>3</v>
      </c>
      <c r="S47" s="3">
        <v>187.893</v>
      </c>
      <c r="T47">
        <v>3862.5120000000002</v>
      </c>
      <c r="U47">
        <v>1418.4</v>
      </c>
      <c r="V47">
        <v>792.36800000000005</v>
      </c>
      <c r="W47">
        <v>949.17600000000004</v>
      </c>
      <c r="X47">
        <v>1754.2639999999999</v>
      </c>
      <c r="Y47">
        <v>903.33900000000006</v>
      </c>
      <c r="Z47">
        <v>666.04499999999996</v>
      </c>
    </row>
    <row r="48" spans="1:26" x14ac:dyDescent="0.35">
      <c r="A48" s="3" t="s">
        <v>129</v>
      </c>
      <c r="B48" s="3">
        <v>1046</v>
      </c>
      <c r="C48">
        <v>15</v>
      </c>
      <c r="D48">
        <v>6</v>
      </c>
      <c r="E48">
        <v>2024</v>
      </c>
      <c r="F48" s="4">
        <f t="shared" si="0"/>
        <v>45458</v>
      </c>
      <c r="G48" s="3" t="s">
        <v>130</v>
      </c>
      <c r="H48" s="3">
        <v>52</v>
      </c>
      <c r="I48" s="3" t="s">
        <v>20</v>
      </c>
      <c r="J48" s="3" t="s">
        <v>46</v>
      </c>
      <c r="K48" s="3" t="s">
        <v>34</v>
      </c>
      <c r="L48" s="3" t="s">
        <v>28</v>
      </c>
      <c r="M48" s="3">
        <v>893.09</v>
      </c>
      <c r="N48" s="3">
        <v>1</v>
      </c>
      <c r="O48" s="3">
        <v>15</v>
      </c>
      <c r="P48" s="3" t="s">
        <v>29</v>
      </c>
      <c r="Q48" s="3">
        <v>1</v>
      </c>
      <c r="R48" s="3">
        <v>4</v>
      </c>
      <c r="S48" s="3">
        <v>759.12649999999996</v>
      </c>
      <c r="T48">
        <v>1089.432</v>
      </c>
      <c r="U48">
        <v>657.24300000000005</v>
      </c>
      <c r="V48">
        <v>1101.6300000000001</v>
      </c>
      <c r="W48">
        <v>1924.18</v>
      </c>
      <c r="X48">
        <v>1057.1199999999999</v>
      </c>
      <c r="Y48">
        <v>619.43799999999999</v>
      </c>
      <c r="Z48">
        <v>679.2</v>
      </c>
    </row>
    <row r="49" spans="1:26" x14ac:dyDescent="0.35">
      <c r="A49" s="3" t="s">
        <v>131</v>
      </c>
      <c r="B49" s="3">
        <v>1047</v>
      </c>
      <c r="C49">
        <v>30</v>
      </c>
      <c r="D49">
        <v>9</v>
      </c>
      <c r="E49">
        <v>2024</v>
      </c>
      <c r="F49" s="4">
        <f t="shared" si="0"/>
        <v>45565</v>
      </c>
      <c r="G49" s="3" t="s">
        <v>132</v>
      </c>
      <c r="H49" s="3">
        <v>53</v>
      </c>
      <c r="I49" s="3" t="s">
        <v>32</v>
      </c>
      <c r="J49" s="3" t="s">
        <v>21</v>
      </c>
      <c r="K49" s="3" t="s">
        <v>38</v>
      </c>
      <c r="L49" s="3" t="s">
        <v>125</v>
      </c>
      <c r="M49" s="3">
        <v>1103.33</v>
      </c>
      <c r="N49" s="3">
        <v>2</v>
      </c>
      <c r="O49" s="3">
        <v>0</v>
      </c>
      <c r="P49" s="3" t="s">
        <v>654</v>
      </c>
      <c r="Q49" s="3">
        <v>5</v>
      </c>
      <c r="R49" s="3">
        <v>2</v>
      </c>
      <c r="S49" s="3">
        <v>2206.66</v>
      </c>
      <c r="T49">
        <v>60.91</v>
      </c>
      <c r="U49">
        <v>1019.521</v>
      </c>
      <c r="V49">
        <v>1201.883</v>
      </c>
      <c r="W49">
        <v>448.81700000000001</v>
      </c>
      <c r="X49">
        <v>634.01599999999996</v>
      </c>
      <c r="Y49">
        <v>543.97</v>
      </c>
      <c r="Z49">
        <v>2198.0700000000002</v>
      </c>
    </row>
    <row r="50" spans="1:26" x14ac:dyDescent="0.35">
      <c r="A50" s="3" t="s">
        <v>133</v>
      </c>
      <c r="B50" s="3">
        <v>1048</v>
      </c>
      <c r="C50">
        <v>29</v>
      </c>
      <c r="D50">
        <v>3</v>
      </c>
      <c r="E50">
        <v>2024</v>
      </c>
      <c r="F50" s="4">
        <f t="shared" si="0"/>
        <v>45380</v>
      </c>
      <c r="G50" s="3" t="s">
        <v>134</v>
      </c>
      <c r="H50" s="3">
        <v>35</v>
      </c>
      <c r="I50" s="3" t="s">
        <v>32</v>
      </c>
      <c r="J50" s="3" t="s">
        <v>51</v>
      </c>
      <c r="K50" s="3" t="s">
        <v>47</v>
      </c>
      <c r="L50" s="3" t="s">
        <v>125</v>
      </c>
      <c r="M50" s="3">
        <v>350.44</v>
      </c>
      <c r="N50" s="3">
        <v>2</v>
      </c>
      <c r="O50" s="3">
        <v>0</v>
      </c>
      <c r="P50" s="3" t="s">
        <v>653</v>
      </c>
      <c r="Q50" s="3"/>
      <c r="R50" s="3">
        <v>3</v>
      </c>
      <c r="S50" s="3">
        <v>700.88</v>
      </c>
      <c r="T50">
        <v>2689.2979999999998</v>
      </c>
      <c r="U50">
        <v>1251.829</v>
      </c>
      <c r="V50">
        <v>1449.403</v>
      </c>
      <c r="W50">
        <v>1220.1990000000001</v>
      </c>
      <c r="X50">
        <v>1458.54</v>
      </c>
      <c r="Y50">
        <v>988.2</v>
      </c>
      <c r="Z50">
        <v>3233.4</v>
      </c>
    </row>
    <row r="51" spans="1:26" x14ac:dyDescent="0.35">
      <c r="A51" s="3" t="s">
        <v>135</v>
      </c>
      <c r="B51" s="3">
        <v>1049</v>
      </c>
      <c r="C51">
        <v>11</v>
      </c>
      <c r="D51">
        <v>11</v>
      </c>
      <c r="E51">
        <v>2024</v>
      </c>
      <c r="F51" s="4">
        <f t="shared" si="0"/>
        <v>45607</v>
      </c>
      <c r="G51" s="3" t="s">
        <v>81</v>
      </c>
      <c r="H51" s="3">
        <v>56</v>
      </c>
      <c r="I51" s="3" t="s">
        <v>32</v>
      </c>
      <c r="J51" s="3" t="s">
        <v>33</v>
      </c>
      <c r="K51" s="3" t="s">
        <v>22</v>
      </c>
      <c r="L51" s="3" t="s">
        <v>96</v>
      </c>
      <c r="M51" s="3">
        <v>1032.8399999999999</v>
      </c>
      <c r="N51" s="3">
        <v>1</v>
      </c>
      <c r="O51" s="3">
        <v>5</v>
      </c>
      <c r="P51" s="3" t="s">
        <v>654</v>
      </c>
      <c r="Q51" s="3">
        <v>3</v>
      </c>
      <c r="R51" s="3">
        <v>5</v>
      </c>
      <c r="S51" s="3">
        <v>981.19799999999998</v>
      </c>
      <c r="T51">
        <v>3822.7840000000001</v>
      </c>
      <c r="U51">
        <v>1950.597</v>
      </c>
      <c r="V51">
        <v>742.9665</v>
      </c>
      <c r="W51">
        <v>404.52</v>
      </c>
      <c r="X51">
        <v>1498.1759999999999</v>
      </c>
      <c r="Y51">
        <v>1245.366</v>
      </c>
      <c r="Z51">
        <v>519.44100000000003</v>
      </c>
    </row>
    <row r="52" spans="1:26" x14ac:dyDescent="0.35">
      <c r="A52" s="3" t="s">
        <v>136</v>
      </c>
      <c r="B52" s="3">
        <v>1050</v>
      </c>
      <c r="C52">
        <v>14</v>
      </c>
      <c r="D52">
        <v>1</v>
      </c>
      <c r="E52">
        <v>2024</v>
      </c>
      <c r="F52" s="4">
        <f t="shared" si="0"/>
        <v>45305</v>
      </c>
      <c r="G52" s="3" t="s">
        <v>137</v>
      </c>
      <c r="H52" s="3">
        <v>49</v>
      </c>
      <c r="I52" s="3" t="s">
        <v>32</v>
      </c>
      <c r="J52" s="3" t="s">
        <v>21</v>
      </c>
      <c r="K52" s="3" t="s">
        <v>41</v>
      </c>
      <c r="L52" s="3" t="s">
        <v>79</v>
      </c>
      <c r="M52" s="3">
        <v>364.82</v>
      </c>
      <c r="N52" s="3">
        <v>1</v>
      </c>
      <c r="O52" s="3">
        <v>10</v>
      </c>
      <c r="P52" s="3" t="s">
        <v>24</v>
      </c>
      <c r="Q52" s="3">
        <v>5</v>
      </c>
      <c r="R52" s="3">
        <v>5</v>
      </c>
      <c r="S52" s="3">
        <v>328.33800000000002</v>
      </c>
      <c r="T52">
        <v>1750.5239999999999</v>
      </c>
      <c r="U52">
        <v>806.65449999999998</v>
      </c>
      <c r="V52">
        <v>1394.0640000000001</v>
      </c>
      <c r="W52">
        <v>94.158000000000001</v>
      </c>
      <c r="X52">
        <v>564.78</v>
      </c>
      <c r="Y52">
        <v>1569.078</v>
      </c>
      <c r="Z52">
        <v>915.96</v>
      </c>
    </row>
    <row r="53" spans="1:26" x14ac:dyDescent="0.35">
      <c r="A53" s="3" t="s">
        <v>138</v>
      </c>
      <c r="B53" s="3">
        <v>1051</v>
      </c>
      <c r="C53">
        <v>29</v>
      </c>
      <c r="D53">
        <v>8</v>
      </c>
      <c r="E53">
        <v>2024</v>
      </c>
      <c r="F53" s="4">
        <f t="shared" si="0"/>
        <v>45533</v>
      </c>
      <c r="G53" s="3" t="s">
        <v>26</v>
      </c>
      <c r="H53" s="3">
        <v>41</v>
      </c>
      <c r="I53" s="3" t="s">
        <v>32</v>
      </c>
      <c r="J53" s="3" t="s">
        <v>33</v>
      </c>
      <c r="K53" s="3" t="s">
        <v>47</v>
      </c>
      <c r="L53" s="3" t="s">
        <v>96</v>
      </c>
      <c r="M53" s="3">
        <v>1094.71</v>
      </c>
      <c r="N53" s="3">
        <v>2</v>
      </c>
      <c r="O53" s="3">
        <v>0</v>
      </c>
      <c r="P53" s="3" t="s">
        <v>29</v>
      </c>
      <c r="Q53" s="3">
        <v>1</v>
      </c>
      <c r="R53" s="3">
        <v>6</v>
      </c>
      <c r="S53" s="3">
        <v>2189.42</v>
      </c>
      <c r="T53">
        <v>726.79</v>
      </c>
      <c r="U53">
        <v>540.30600000000004</v>
      </c>
      <c r="V53">
        <v>1530.748</v>
      </c>
      <c r="W53">
        <v>948.70399999999995</v>
      </c>
      <c r="X53">
        <v>95.057000000000002</v>
      </c>
      <c r="Y53">
        <v>962.13199999999995</v>
      </c>
      <c r="Z53">
        <v>412.11</v>
      </c>
    </row>
    <row r="54" spans="1:26" x14ac:dyDescent="0.35">
      <c r="A54" s="3" t="s">
        <v>139</v>
      </c>
      <c r="B54" s="3">
        <v>1052</v>
      </c>
      <c r="C54">
        <v>21</v>
      </c>
      <c r="D54">
        <v>9</v>
      </c>
      <c r="E54">
        <v>2024</v>
      </c>
      <c r="F54" s="4">
        <f t="shared" si="0"/>
        <v>45556</v>
      </c>
      <c r="G54" s="3" t="s">
        <v>140</v>
      </c>
      <c r="H54" s="3">
        <v>40</v>
      </c>
      <c r="I54" s="3" t="s">
        <v>32</v>
      </c>
      <c r="J54" s="3" t="s">
        <v>21</v>
      </c>
      <c r="K54" s="3" t="s">
        <v>47</v>
      </c>
      <c r="L54" s="3" t="s">
        <v>96</v>
      </c>
      <c r="M54" s="3">
        <v>909.68</v>
      </c>
      <c r="N54" s="3">
        <v>4</v>
      </c>
      <c r="O54" s="3">
        <v>5</v>
      </c>
      <c r="P54" s="3" t="s">
        <v>24</v>
      </c>
      <c r="Q54" s="3">
        <v>4</v>
      </c>
      <c r="R54" s="3">
        <v>7</v>
      </c>
      <c r="S54" s="3">
        <v>3456.7840000000001</v>
      </c>
      <c r="T54">
        <v>311.24</v>
      </c>
      <c r="U54">
        <v>2498.36</v>
      </c>
      <c r="V54">
        <v>2496.48</v>
      </c>
      <c r="W54">
        <v>1157.54</v>
      </c>
      <c r="X54">
        <v>2777.5439999999999</v>
      </c>
      <c r="Y54">
        <v>883.14149999999995</v>
      </c>
      <c r="Z54">
        <v>734.82</v>
      </c>
    </row>
    <row r="55" spans="1:26" x14ac:dyDescent="0.35">
      <c r="A55" s="3" t="s">
        <v>141</v>
      </c>
      <c r="B55" s="3">
        <v>1053</v>
      </c>
      <c r="C55">
        <v>11</v>
      </c>
      <c r="D55">
        <v>12</v>
      </c>
      <c r="E55">
        <v>2024</v>
      </c>
      <c r="F55" s="4">
        <f t="shared" si="0"/>
        <v>45637</v>
      </c>
      <c r="G55" s="3" t="s">
        <v>100</v>
      </c>
      <c r="H55" s="3">
        <v>49</v>
      </c>
      <c r="I55" s="3" t="s">
        <v>32</v>
      </c>
      <c r="J55" s="3" t="s">
        <v>27</v>
      </c>
      <c r="K55" s="3" t="s">
        <v>41</v>
      </c>
      <c r="L55" s="3" t="s">
        <v>28</v>
      </c>
      <c r="M55" s="3">
        <v>969.79</v>
      </c>
      <c r="N55" s="3">
        <v>2</v>
      </c>
      <c r="O55" s="3">
        <v>20</v>
      </c>
      <c r="P55" s="3" t="s">
        <v>29</v>
      </c>
      <c r="Q55" s="3">
        <v>2</v>
      </c>
      <c r="R55" s="3">
        <v>7</v>
      </c>
      <c r="S55" s="3">
        <v>1551.664</v>
      </c>
      <c r="T55">
        <v>392.25</v>
      </c>
      <c r="U55">
        <v>710.65800000000002</v>
      </c>
      <c r="V55">
        <v>2253.4</v>
      </c>
      <c r="W55">
        <v>1026.912</v>
      </c>
      <c r="X55">
        <v>1283.568</v>
      </c>
      <c r="Y55">
        <v>318.58</v>
      </c>
      <c r="Z55">
        <v>501.79500000000002</v>
      </c>
    </row>
    <row r="56" spans="1:26" x14ac:dyDescent="0.35">
      <c r="A56" s="3" t="s">
        <v>142</v>
      </c>
      <c r="B56" s="3">
        <v>1054</v>
      </c>
      <c r="C56">
        <v>22</v>
      </c>
      <c r="D56">
        <v>2</v>
      </c>
      <c r="E56">
        <v>2024</v>
      </c>
      <c r="F56" s="4">
        <f t="shared" si="0"/>
        <v>45344</v>
      </c>
      <c r="G56" s="3" t="s">
        <v>143</v>
      </c>
      <c r="H56" s="3">
        <v>54</v>
      </c>
      <c r="I56" s="3" t="s">
        <v>20</v>
      </c>
      <c r="J56" s="3" t="s">
        <v>33</v>
      </c>
      <c r="K56" s="3" t="s">
        <v>47</v>
      </c>
      <c r="L56" s="3" t="s">
        <v>35</v>
      </c>
      <c r="M56" s="3">
        <v>41.25</v>
      </c>
      <c r="N56" s="3">
        <v>2</v>
      </c>
      <c r="O56" s="3">
        <v>0</v>
      </c>
      <c r="P56" s="3" t="s">
        <v>654</v>
      </c>
      <c r="Q56" s="3"/>
      <c r="R56" s="3">
        <v>1</v>
      </c>
      <c r="S56" s="3">
        <v>82.5</v>
      </c>
      <c r="T56">
        <v>1295.4559999999999</v>
      </c>
      <c r="U56">
        <v>4109.8680000000004</v>
      </c>
      <c r="V56">
        <v>169.59</v>
      </c>
      <c r="W56">
        <v>911.221</v>
      </c>
      <c r="X56">
        <v>655.20000000000005</v>
      </c>
      <c r="Y56">
        <v>2164.2330000000002</v>
      </c>
      <c r="Z56">
        <v>188.964</v>
      </c>
    </row>
    <row r="57" spans="1:26" x14ac:dyDescent="0.35">
      <c r="A57" s="3" t="s">
        <v>144</v>
      </c>
      <c r="B57" s="3">
        <v>1055</v>
      </c>
      <c r="C57">
        <v>5</v>
      </c>
      <c r="D57">
        <v>12</v>
      </c>
      <c r="E57">
        <v>2024</v>
      </c>
      <c r="F57" s="4">
        <f t="shared" si="0"/>
        <v>45631</v>
      </c>
      <c r="G57" s="3" t="s">
        <v>145</v>
      </c>
      <c r="H57" s="3">
        <v>29</v>
      </c>
      <c r="I57" s="3" t="s">
        <v>20</v>
      </c>
      <c r="J57" s="3" t="s">
        <v>51</v>
      </c>
      <c r="K57" s="3" t="s">
        <v>22</v>
      </c>
      <c r="L57" s="3" t="s">
        <v>35</v>
      </c>
      <c r="M57" s="3">
        <v>1156.1199999999999</v>
      </c>
      <c r="N57" s="3">
        <v>1</v>
      </c>
      <c r="O57" s="3">
        <v>0</v>
      </c>
      <c r="P57" s="3" t="s">
        <v>654</v>
      </c>
      <c r="Q57" s="3"/>
      <c r="R57" s="3">
        <v>2</v>
      </c>
      <c r="S57" s="3">
        <v>1156.1199999999999</v>
      </c>
      <c r="T57">
        <v>1811.588</v>
      </c>
      <c r="U57">
        <v>2288.4720000000002</v>
      </c>
      <c r="V57">
        <v>161.70400000000001</v>
      </c>
      <c r="W57">
        <v>383.59100000000001</v>
      </c>
      <c r="X57">
        <v>1000.296</v>
      </c>
      <c r="Y57">
        <v>1113.1300000000001</v>
      </c>
      <c r="Z57">
        <v>1815.7159999999999</v>
      </c>
    </row>
    <row r="58" spans="1:26" x14ac:dyDescent="0.35">
      <c r="A58" s="3" t="s">
        <v>146</v>
      </c>
      <c r="B58" s="3">
        <v>1056</v>
      </c>
      <c r="C58">
        <v>1</v>
      </c>
      <c r="D58">
        <v>4</v>
      </c>
      <c r="E58">
        <v>2024</v>
      </c>
      <c r="F58" s="4">
        <f t="shared" si="0"/>
        <v>45383</v>
      </c>
      <c r="G58" s="3" t="s">
        <v>76</v>
      </c>
      <c r="H58" s="3">
        <v>30</v>
      </c>
      <c r="I58" s="3" t="s">
        <v>20</v>
      </c>
      <c r="J58" s="3" t="s">
        <v>51</v>
      </c>
      <c r="K58" s="3" t="s">
        <v>22</v>
      </c>
      <c r="L58" s="3" t="s">
        <v>23</v>
      </c>
      <c r="M58" s="3">
        <v>877.47</v>
      </c>
      <c r="N58" s="3">
        <v>4</v>
      </c>
      <c r="O58" s="3">
        <v>5</v>
      </c>
      <c r="P58" s="3" t="s">
        <v>24</v>
      </c>
      <c r="Q58" s="3">
        <v>4</v>
      </c>
      <c r="R58" s="3">
        <v>9</v>
      </c>
      <c r="S58" s="3">
        <v>3334.386</v>
      </c>
      <c r="T58">
        <v>839.86199999999997</v>
      </c>
      <c r="U58">
        <v>2099.1260000000002</v>
      </c>
      <c r="V58">
        <v>2919.4560000000001</v>
      </c>
      <c r="W58">
        <v>2343.5520000000001</v>
      </c>
      <c r="X58">
        <v>264.08</v>
      </c>
      <c r="Y58">
        <v>837.19</v>
      </c>
      <c r="Z58">
        <v>793.55399999999997</v>
      </c>
    </row>
    <row r="59" spans="1:26" x14ac:dyDescent="0.35">
      <c r="A59" s="3" t="s">
        <v>147</v>
      </c>
      <c r="B59" s="3">
        <v>1057</v>
      </c>
      <c r="C59">
        <v>20</v>
      </c>
      <c r="D59">
        <v>9</v>
      </c>
      <c r="E59">
        <v>2024</v>
      </c>
      <c r="F59" s="4">
        <f t="shared" si="0"/>
        <v>45555</v>
      </c>
      <c r="G59" s="3" t="s">
        <v>148</v>
      </c>
      <c r="H59" s="3">
        <v>40</v>
      </c>
      <c r="I59" s="3" t="s">
        <v>20</v>
      </c>
      <c r="J59" s="3" t="s">
        <v>46</v>
      </c>
      <c r="K59" s="3" t="s">
        <v>41</v>
      </c>
      <c r="L59" s="3" t="s">
        <v>55</v>
      </c>
      <c r="M59" s="3">
        <v>379.61</v>
      </c>
      <c r="N59" s="3">
        <v>2</v>
      </c>
      <c r="O59" s="3">
        <v>10</v>
      </c>
      <c r="P59" s="3" t="s">
        <v>29</v>
      </c>
      <c r="Q59" s="3">
        <v>4</v>
      </c>
      <c r="R59" s="3">
        <v>2</v>
      </c>
      <c r="S59" s="3">
        <v>683.298</v>
      </c>
      <c r="T59">
        <v>1629.57</v>
      </c>
      <c r="U59">
        <v>2304.7199999999998</v>
      </c>
      <c r="V59">
        <v>694.89649999999995</v>
      </c>
      <c r="W59">
        <v>237.654</v>
      </c>
      <c r="X59">
        <v>1683.18</v>
      </c>
      <c r="Y59">
        <v>428.71199999999999</v>
      </c>
      <c r="Z59">
        <v>1839.57</v>
      </c>
    </row>
    <row r="60" spans="1:26" x14ac:dyDescent="0.35">
      <c r="A60" s="3" t="s">
        <v>149</v>
      </c>
      <c r="B60" s="3">
        <v>1058</v>
      </c>
      <c r="C60">
        <v>4</v>
      </c>
      <c r="D60">
        <v>2</v>
      </c>
      <c r="E60">
        <v>2024</v>
      </c>
      <c r="F60" s="4">
        <f t="shared" si="0"/>
        <v>45326</v>
      </c>
      <c r="G60" s="3" t="s">
        <v>150</v>
      </c>
      <c r="H60" s="3">
        <v>42</v>
      </c>
      <c r="I60" s="3" t="s">
        <v>20</v>
      </c>
      <c r="J60" s="3" t="s">
        <v>21</v>
      </c>
      <c r="K60" s="3" t="s">
        <v>34</v>
      </c>
      <c r="L60" s="3" t="s">
        <v>28</v>
      </c>
      <c r="M60" s="3">
        <v>998.69</v>
      </c>
      <c r="N60" s="3">
        <v>2</v>
      </c>
      <c r="O60" s="3">
        <v>0</v>
      </c>
      <c r="P60" s="3" t="s">
        <v>29</v>
      </c>
      <c r="Q60" s="3">
        <v>1</v>
      </c>
      <c r="R60" s="3">
        <v>6</v>
      </c>
      <c r="S60" s="3">
        <v>1997.38</v>
      </c>
      <c r="T60">
        <v>2441.88</v>
      </c>
      <c r="U60">
        <v>311.10000000000002</v>
      </c>
      <c r="V60">
        <v>1791.9179999999999</v>
      </c>
      <c r="W60">
        <v>4641.4799999999996</v>
      </c>
      <c r="X60">
        <v>157.04</v>
      </c>
      <c r="Y60">
        <v>1596.144</v>
      </c>
      <c r="Z60">
        <v>961.48800000000006</v>
      </c>
    </row>
    <row r="61" spans="1:26" x14ac:dyDescent="0.35">
      <c r="A61" s="3" t="s">
        <v>151</v>
      </c>
      <c r="B61" s="3">
        <v>1059</v>
      </c>
      <c r="C61">
        <v>24</v>
      </c>
      <c r="D61">
        <v>7</v>
      </c>
      <c r="E61">
        <v>2024</v>
      </c>
      <c r="F61" s="4">
        <f t="shared" si="0"/>
        <v>45497</v>
      </c>
      <c r="G61" s="3" t="s">
        <v>152</v>
      </c>
      <c r="H61" s="3">
        <v>52</v>
      </c>
      <c r="I61" s="3" t="s">
        <v>32</v>
      </c>
      <c r="J61" s="3" t="s">
        <v>33</v>
      </c>
      <c r="K61" s="3" t="s">
        <v>38</v>
      </c>
      <c r="L61" s="3" t="s">
        <v>23</v>
      </c>
      <c r="M61" s="3">
        <v>352.2</v>
      </c>
      <c r="N61" s="3">
        <v>3</v>
      </c>
      <c r="O61" s="3">
        <v>20</v>
      </c>
      <c r="P61" s="3" t="s">
        <v>654</v>
      </c>
      <c r="Q61" s="3">
        <v>5</v>
      </c>
      <c r="R61" s="3">
        <v>1</v>
      </c>
      <c r="S61" s="3">
        <v>845.28</v>
      </c>
      <c r="T61">
        <v>457.56799999999998</v>
      </c>
      <c r="U61">
        <v>272.15300000000002</v>
      </c>
      <c r="V61">
        <v>2373.1559999999999</v>
      </c>
      <c r="W61">
        <v>687.66399999999999</v>
      </c>
      <c r="X61">
        <v>937.15200000000004</v>
      </c>
      <c r="Y61">
        <v>33.201000000000001</v>
      </c>
      <c r="Z61">
        <v>1251.8340000000001</v>
      </c>
    </row>
    <row r="62" spans="1:26" x14ac:dyDescent="0.35">
      <c r="A62" s="3" t="s">
        <v>153</v>
      </c>
      <c r="B62" s="3">
        <v>1060</v>
      </c>
      <c r="C62">
        <v>21</v>
      </c>
      <c r="D62">
        <v>3</v>
      </c>
      <c r="E62">
        <v>2024</v>
      </c>
      <c r="F62" s="4">
        <f t="shared" si="0"/>
        <v>45372</v>
      </c>
      <c r="G62" s="3" t="s">
        <v>154</v>
      </c>
      <c r="H62" s="3">
        <v>58</v>
      </c>
      <c r="I62" s="3" t="s">
        <v>32</v>
      </c>
      <c r="J62" s="3" t="s">
        <v>46</v>
      </c>
      <c r="K62" s="3" t="s">
        <v>34</v>
      </c>
      <c r="L62" s="3" t="s">
        <v>42</v>
      </c>
      <c r="M62" s="3">
        <v>1049.8499999999999</v>
      </c>
      <c r="N62" s="3">
        <v>1</v>
      </c>
      <c r="O62" s="3">
        <v>0</v>
      </c>
      <c r="P62" s="3" t="s">
        <v>24</v>
      </c>
      <c r="Q62" s="3">
        <v>3</v>
      </c>
      <c r="R62" s="3">
        <v>3</v>
      </c>
      <c r="S62" s="3">
        <v>1049.8499999999999</v>
      </c>
      <c r="T62">
        <v>1705.3920000000001</v>
      </c>
      <c r="U62">
        <v>1559.3579999999999</v>
      </c>
      <c r="V62">
        <v>1295.328</v>
      </c>
      <c r="W62">
        <v>737</v>
      </c>
      <c r="X62">
        <v>949.8</v>
      </c>
      <c r="Y62">
        <v>150.84800000000001</v>
      </c>
      <c r="Z62">
        <v>2558.8440000000001</v>
      </c>
    </row>
    <row r="63" spans="1:26" x14ac:dyDescent="0.35">
      <c r="A63" s="3" t="s">
        <v>155</v>
      </c>
      <c r="B63" s="3">
        <v>1061</v>
      </c>
      <c r="C63">
        <v>19</v>
      </c>
      <c r="D63">
        <v>2</v>
      </c>
      <c r="E63">
        <v>2024</v>
      </c>
      <c r="F63" s="4">
        <f t="shared" si="0"/>
        <v>45341</v>
      </c>
      <c r="G63" s="3" t="s">
        <v>156</v>
      </c>
      <c r="H63" s="3">
        <v>47</v>
      </c>
      <c r="I63" s="3" t="s">
        <v>20</v>
      </c>
      <c r="J63" s="3" t="s">
        <v>33</v>
      </c>
      <c r="K63" s="3" t="s">
        <v>47</v>
      </c>
      <c r="L63" s="3" t="s">
        <v>55</v>
      </c>
      <c r="M63" s="3">
        <v>152.84</v>
      </c>
      <c r="N63" s="3">
        <v>3</v>
      </c>
      <c r="O63" s="3">
        <v>20</v>
      </c>
      <c r="P63" s="3" t="s">
        <v>29</v>
      </c>
      <c r="Q63" s="3"/>
      <c r="R63" s="3">
        <v>2</v>
      </c>
      <c r="S63" s="3">
        <v>366.81599999999997</v>
      </c>
      <c r="T63">
        <v>1697.0325</v>
      </c>
      <c r="U63">
        <v>166.70699999999999</v>
      </c>
      <c r="V63">
        <v>339.07499999999999</v>
      </c>
      <c r="W63">
        <v>3816.768</v>
      </c>
      <c r="X63">
        <v>758.98800000000006</v>
      </c>
      <c r="Y63">
        <v>927.33</v>
      </c>
      <c r="Z63">
        <v>1145.0429999999999</v>
      </c>
    </row>
    <row r="64" spans="1:26" x14ac:dyDescent="0.35">
      <c r="A64" s="3" t="s">
        <v>157</v>
      </c>
      <c r="B64" s="3">
        <v>1062</v>
      </c>
      <c r="C64">
        <v>25</v>
      </c>
      <c r="D64">
        <v>12</v>
      </c>
      <c r="E64">
        <v>2024</v>
      </c>
      <c r="F64" s="4">
        <f t="shared" si="0"/>
        <v>45651</v>
      </c>
      <c r="G64" s="3" t="s">
        <v>158</v>
      </c>
      <c r="H64" s="3">
        <v>34</v>
      </c>
      <c r="I64" s="3" t="s">
        <v>32</v>
      </c>
      <c r="J64" s="3" t="s">
        <v>21</v>
      </c>
      <c r="K64" s="3" t="s">
        <v>38</v>
      </c>
      <c r="L64" s="3" t="s">
        <v>55</v>
      </c>
      <c r="M64" s="3">
        <v>850.35</v>
      </c>
      <c r="N64" s="3">
        <v>3</v>
      </c>
      <c r="O64" s="3">
        <v>15</v>
      </c>
      <c r="P64" s="3" t="s">
        <v>654</v>
      </c>
      <c r="Q64" s="3"/>
      <c r="R64" s="3">
        <v>3</v>
      </c>
      <c r="S64" s="3">
        <v>2168.3924999999999</v>
      </c>
      <c r="T64">
        <v>692.33150000000001</v>
      </c>
      <c r="U64">
        <v>1166.4100000000001</v>
      </c>
      <c r="V64">
        <v>249.66</v>
      </c>
      <c r="W64">
        <v>734.01750000000004</v>
      </c>
      <c r="X64">
        <v>1356.2</v>
      </c>
      <c r="Y64">
        <v>1663.2360000000001</v>
      </c>
      <c r="Z64">
        <v>1903.365</v>
      </c>
    </row>
    <row r="65" spans="1:26" x14ac:dyDescent="0.35">
      <c r="A65" s="3" t="s">
        <v>159</v>
      </c>
      <c r="B65" s="3">
        <v>1063</v>
      </c>
      <c r="C65">
        <v>2</v>
      </c>
      <c r="D65">
        <v>1</v>
      </c>
      <c r="E65">
        <v>2024</v>
      </c>
      <c r="F65" s="4">
        <f t="shared" si="0"/>
        <v>45293</v>
      </c>
      <c r="G65" s="3" t="s">
        <v>63</v>
      </c>
      <c r="H65" s="3">
        <v>37</v>
      </c>
      <c r="I65" s="3" t="s">
        <v>20</v>
      </c>
      <c r="J65" s="3" t="s">
        <v>51</v>
      </c>
      <c r="K65" s="3" t="s">
        <v>41</v>
      </c>
      <c r="L65" s="3" t="s">
        <v>48</v>
      </c>
      <c r="M65" s="3">
        <v>658.02</v>
      </c>
      <c r="N65" s="3">
        <v>2</v>
      </c>
      <c r="O65" s="3">
        <v>15</v>
      </c>
      <c r="P65" s="3" t="s">
        <v>653</v>
      </c>
      <c r="Q65" s="3">
        <v>4</v>
      </c>
      <c r="R65" s="3">
        <v>5</v>
      </c>
      <c r="S65" s="3">
        <v>1118.634</v>
      </c>
      <c r="T65">
        <v>1430.3679999999999</v>
      </c>
      <c r="U65">
        <v>1884.192</v>
      </c>
      <c r="V65">
        <v>321.94549999999998</v>
      </c>
      <c r="W65">
        <v>981.71600000000001</v>
      </c>
      <c r="X65">
        <v>2029.46</v>
      </c>
      <c r="Y65">
        <v>1147.04</v>
      </c>
      <c r="Z65">
        <v>1290.232</v>
      </c>
    </row>
    <row r="66" spans="1:26" x14ac:dyDescent="0.35">
      <c r="A66" s="3" t="s">
        <v>160</v>
      </c>
      <c r="B66" s="3">
        <v>1064</v>
      </c>
      <c r="C66">
        <v>23</v>
      </c>
      <c r="D66">
        <v>2</v>
      </c>
      <c r="E66">
        <v>2024</v>
      </c>
      <c r="F66" s="4">
        <f t="shared" si="0"/>
        <v>45345</v>
      </c>
      <c r="G66" s="3" t="s">
        <v>63</v>
      </c>
      <c r="H66" s="3">
        <v>42</v>
      </c>
      <c r="I66" s="3" t="s">
        <v>20</v>
      </c>
      <c r="J66" s="3" t="s">
        <v>27</v>
      </c>
      <c r="K66" s="3" t="s">
        <v>41</v>
      </c>
      <c r="L66" s="3" t="s">
        <v>48</v>
      </c>
      <c r="M66" s="3">
        <v>133.91</v>
      </c>
      <c r="N66" s="3">
        <v>1</v>
      </c>
      <c r="O66" s="3">
        <v>20</v>
      </c>
      <c r="P66" s="3" t="s">
        <v>24</v>
      </c>
      <c r="Q66" s="3">
        <v>5</v>
      </c>
      <c r="R66" s="3">
        <v>6</v>
      </c>
      <c r="S66" s="3">
        <v>107.128</v>
      </c>
      <c r="T66">
        <v>236.38399999999999</v>
      </c>
      <c r="U66">
        <v>1259.2239999999999</v>
      </c>
      <c r="V66">
        <v>63.231999999999999</v>
      </c>
      <c r="W66">
        <v>2199.3449999999998</v>
      </c>
      <c r="X66">
        <v>2153.5169999999998</v>
      </c>
      <c r="Y66">
        <v>636.64</v>
      </c>
      <c r="Z66">
        <v>4235.08</v>
      </c>
    </row>
    <row r="67" spans="1:26" x14ac:dyDescent="0.35">
      <c r="A67" s="3" t="s">
        <v>161</v>
      </c>
      <c r="B67" s="3">
        <v>1065</v>
      </c>
      <c r="C67">
        <v>15</v>
      </c>
      <c r="D67">
        <v>4</v>
      </c>
      <c r="E67">
        <v>2024</v>
      </c>
      <c r="F67" s="4">
        <f t="shared" ref="F67:F130" si="1">DATE(E67,D67,C67)</f>
        <v>45397</v>
      </c>
      <c r="G67" s="3" t="s">
        <v>162</v>
      </c>
      <c r="H67" s="3">
        <v>39</v>
      </c>
      <c r="I67" s="3" t="s">
        <v>32</v>
      </c>
      <c r="J67" s="3" t="s">
        <v>51</v>
      </c>
      <c r="K67" s="3" t="s">
        <v>38</v>
      </c>
      <c r="L67" s="3" t="s">
        <v>64</v>
      </c>
      <c r="M67" s="3">
        <v>305.43</v>
      </c>
      <c r="N67" s="3">
        <v>4</v>
      </c>
      <c r="O67" s="3">
        <v>10</v>
      </c>
      <c r="P67" s="3" t="s">
        <v>653</v>
      </c>
      <c r="Q67" s="3"/>
      <c r="R67" s="3">
        <v>9</v>
      </c>
      <c r="S67" s="3">
        <v>1099.548</v>
      </c>
      <c r="T67">
        <v>883.93200000000002</v>
      </c>
      <c r="U67">
        <v>951.3</v>
      </c>
      <c r="V67">
        <v>809.88</v>
      </c>
      <c r="W67">
        <v>828.52350000000001</v>
      </c>
      <c r="X67">
        <v>601.904</v>
      </c>
      <c r="Y67">
        <v>1976.7239999999999</v>
      </c>
      <c r="Z67">
        <v>1103.98</v>
      </c>
    </row>
    <row r="68" spans="1:26" x14ac:dyDescent="0.35">
      <c r="A68" s="3" t="s">
        <v>163</v>
      </c>
      <c r="B68" s="3">
        <v>1066</v>
      </c>
      <c r="C68">
        <v>16</v>
      </c>
      <c r="D68">
        <v>9</v>
      </c>
      <c r="E68">
        <v>2024</v>
      </c>
      <c r="F68" s="4">
        <f t="shared" si="1"/>
        <v>45551</v>
      </c>
      <c r="G68" s="3" t="s">
        <v>164</v>
      </c>
      <c r="H68" s="3">
        <v>30</v>
      </c>
      <c r="I68" s="3" t="s">
        <v>32</v>
      </c>
      <c r="J68" s="3" t="s">
        <v>46</v>
      </c>
      <c r="K68" s="3" t="s">
        <v>22</v>
      </c>
      <c r="L68" s="3" t="s">
        <v>64</v>
      </c>
      <c r="M68" s="3">
        <v>34.64</v>
      </c>
      <c r="N68" s="3">
        <v>2</v>
      </c>
      <c r="O68" s="3">
        <v>0</v>
      </c>
      <c r="P68" s="3" t="s">
        <v>24</v>
      </c>
      <c r="Q68" s="3">
        <v>3</v>
      </c>
      <c r="R68" s="3">
        <v>4</v>
      </c>
      <c r="S68" s="3">
        <v>69.28</v>
      </c>
      <c r="T68">
        <v>1643.96</v>
      </c>
      <c r="U68">
        <v>29.04</v>
      </c>
      <c r="V68">
        <v>3637.2460000000001</v>
      </c>
      <c r="W68">
        <v>310.86900000000003</v>
      </c>
      <c r="X68">
        <v>1167.0239999999999</v>
      </c>
      <c r="Y68">
        <v>627.19000000000005</v>
      </c>
      <c r="Z68">
        <v>3767.616</v>
      </c>
    </row>
    <row r="69" spans="1:26" x14ac:dyDescent="0.35">
      <c r="A69" s="3" t="s">
        <v>165</v>
      </c>
      <c r="B69" s="3">
        <v>1067</v>
      </c>
      <c r="C69">
        <v>5</v>
      </c>
      <c r="D69">
        <v>11</v>
      </c>
      <c r="E69">
        <v>2024</v>
      </c>
      <c r="F69" s="4">
        <f t="shared" si="1"/>
        <v>45601</v>
      </c>
      <c r="G69" s="3" t="s">
        <v>122</v>
      </c>
      <c r="H69" s="3">
        <v>36</v>
      </c>
      <c r="I69" s="3" t="s">
        <v>32</v>
      </c>
      <c r="J69" s="3" t="s">
        <v>27</v>
      </c>
      <c r="K69" s="3" t="s">
        <v>38</v>
      </c>
      <c r="L69" s="3" t="s">
        <v>96</v>
      </c>
      <c r="M69" s="3">
        <v>573.15</v>
      </c>
      <c r="N69" s="3">
        <v>4</v>
      </c>
      <c r="O69" s="3">
        <v>0</v>
      </c>
      <c r="P69" s="3" t="s">
        <v>654</v>
      </c>
      <c r="Q69" s="3">
        <v>4</v>
      </c>
      <c r="R69" s="3">
        <v>7</v>
      </c>
      <c r="S69" s="3">
        <v>2292.6</v>
      </c>
      <c r="T69">
        <v>251.4</v>
      </c>
      <c r="U69">
        <v>250.65</v>
      </c>
      <c r="V69">
        <v>4008.886</v>
      </c>
      <c r="W69">
        <v>4535.88</v>
      </c>
      <c r="X69">
        <v>2378.7719999999999</v>
      </c>
      <c r="Y69">
        <v>3205.86</v>
      </c>
      <c r="Z69">
        <v>139.33600000000001</v>
      </c>
    </row>
    <row r="70" spans="1:26" x14ac:dyDescent="0.35">
      <c r="A70" s="3" t="s">
        <v>166</v>
      </c>
      <c r="B70" s="3">
        <v>1068</v>
      </c>
      <c r="C70">
        <v>9</v>
      </c>
      <c r="D70">
        <v>7</v>
      </c>
      <c r="E70">
        <v>2024</v>
      </c>
      <c r="F70" s="4">
        <f t="shared" si="1"/>
        <v>45482</v>
      </c>
      <c r="G70" s="3" t="s">
        <v>167</v>
      </c>
      <c r="H70" s="3"/>
      <c r="I70" s="3" t="s">
        <v>20</v>
      </c>
      <c r="J70" s="3" t="s">
        <v>655</v>
      </c>
      <c r="K70" s="3" t="s">
        <v>47</v>
      </c>
      <c r="L70" s="3" t="s">
        <v>42</v>
      </c>
      <c r="M70" s="3">
        <v>375.49</v>
      </c>
      <c r="N70" s="3">
        <v>4</v>
      </c>
      <c r="O70" s="3">
        <v>15</v>
      </c>
      <c r="P70" s="3" t="s">
        <v>29</v>
      </c>
      <c r="Q70" s="3"/>
      <c r="R70" s="3">
        <v>6</v>
      </c>
      <c r="S70" s="3">
        <v>1276.6659999999999</v>
      </c>
      <c r="T70">
        <v>842.904</v>
      </c>
      <c r="U70">
        <v>265.44600000000003</v>
      </c>
      <c r="V70">
        <v>987.24</v>
      </c>
      <c r="W70">
        <v>625.85599999999999</v>
      </c>
      <c r="X70">
        <v>1858.3720000000001</v>
      </c>
      <c r="Y70">
        <v>1568.1555000000001</v>
      </c>
      <c r="Z70">
        <v>2826.1680000000001</v>
      </c>
    </row>
    <row r="71" spans="1:26" x14ac:dyDescent="0.35">
      <c r="A71" s="3" t="s">
        <v>168</v>
      </c>
      <c r="B71" s="3">
        <v>1069</v>
      </c>
      <c r="C71">
        <v>5</v>
      </c>
      <c r="D71">
        <v>8</v>
      </c>
      <c r="E71">
        <v>2024</v>
      </c>
      <c r="F71" s="4">
        <f t="shared" si="1"/>
        <v>45509</v>
      </c>
      <c r="G71" s="3" t="s">
        <v>169</v>
      </c>
      <c r="H71" s="3">
        <v>29</v>
      </c>
      <c r="I71" s="3" t="s">
        <v>32</v>
      </c>
      <c r="J71" s="3" t="s">
        <v>21</v>
      </c>
      <c r="K71" s="3" t="s">
        <v>22</v>
      </c>
      <c r="L71" s="3" t="s">
        <v>125</v>
      </c>
      <c r="M71" s="3">
        <v>726.06</v>
      </c>
      <c r="N71" s="3">
        <v>1</v>
      </c>
      <c r="O71" s="3">
        <v>20</v>
      </c>
      <c r="P71" s="3" t="s">
        <v>29</v>
      </c>
      <c r="Q71" s="3">
        <v>5</v>
      </c>
      <c r="R71" s="3">
        <v>2</v>
      </c>
      <c r="S71" s="3">
        <v>580.84799999999996</v>
      </c>
      <c r="T71">
        <v>2518.2399999999998</v>
      </c>
      <c r="U71">
        <v>1499.88</v>
      </c>
      <c r="V71">
        <v>1837.84</v>
      </c>
      <c r="W71">
        <v>1594.134</v>
      </c>
      <c r="X71">
        <v>317.851</v>
      </c>
      <c r="Y71">
        <v>290.20600000000002</v>
      </c>
      <c r="Z71">
        <v>2429.98</v>
      </c>
    </row>
    <row r="72" spans="1:26" x14ac:dyDescent="0.35">
      <c r="A72" s="3" t="s">
        <v>170</v>
      </c>
      <c r="B72" s="3">
        <v>1070</v>
      </c>
      <c r="C72">
        <v>13</v>
      </c>
      <c r="D72">
        <v>2</v>
      </c>
      <c r="E72">
        <v>2024</v>
      </c>
      <c r="F72" s="4">
        <f t="shared" si="1"/>
        <v>45335</v>
      </c>
      <c r="G72" s="3" t="s">
        <v>148</v>
      </c>
      <c r="H72" s="3">
        <v>58</v>
      </c>
      <c r="I72" s="3" t="s">
        <v>20</v>
      </c>
      <c r="J72" s="3" t="s">
        <v>27</v>
      </c>
      <c r="K72" s="3" t="s">
        <v>41</v>
      </c>
      <c r="L72" s="3" t="s">
        <v>125</v>
      </c>
      <c r="M72" s="3">
        <v>370.74</v>
      </c>
      <c r="N72" s="3">
        <v>3</v>
      </c>
      <c r="O72" s="3">
        <v>0</v>
      </c>
      <c r="P72" s="3" t="s">
        <v>29</v>
      </c>
      <c r="Q72" s="3"/>
      <c r="R72" s="3">
        <v>8</v>
      </c>
      <c r="S72" s="3">
        <v>1112.22</v>
      </c>
      <c r="T72">
        <v>75.525000000000006</v>
      </c>
      <c r="U72">
        <v>1563.136</v>
      </c>
      <c r="V72">
        <v>1682.856</v>
      </c>
      <c r="W72">
        <v>925.78</v>
      </c>
      <c r="X72">
        <v>1923.008</v>
      </c>
      <c r="Y72">
        <v>1075.1199999999999</v>
      </c>
      <c r="Z72">
        <v>1428.36</v>
      </c>
    </row>
    <row r="73" spans="1:26" x14ac:dyDescent="0.35">
      <c r="A73" s="3" t="s">
        <v>171</v>
      </c>
      <c r="B73" s="3">
        <v>1071</v>
      </c>
      <c r="C73">
        <v>10</v>
      </c>
      <c r="D73">
        <v>6</v>
      </c>
      <c r="E73">
        <v>2024</v>
      </c>
      <c r="F73" s="4">
        <f t="shared" si="1"/>
        <v>45453</v>
      </c>
      <c r="G73" s="3" t="s">
        <v>172</v>
      </c>
      <c r="H73" s="3">
        <v>36</v>
      </c>
      <c r="I73" s="3" t="s">
        <v>20</v>
      </c>
      <c r="J73" s="3" t="s">
        <v>46</v>
      </c>
      <c r="K73" s="3" t="s">
        <v>38</v>
      </c>
      <c r="L73" s="3" t="s">
        <v>48</v>
      </c>
      <c r="M73" s="3">
        <v>373.9</v>
      </c>
      <c r="N73" s="3">
        <v>1</v>
      </c>
      <c r="O73" s="3">
        <v>0</v>
      </c>
      <c r="P73" s="3" t="s">
        <v>24</v>
      </c>
      <c r="Q73" s="3">
        <v>2</v>
      </c>
      <c r="R73" s="3">
        <v>7</v>
      </c>
      <c r="S73" s="3">
        <v>373.9</v>
      </c>
      <c r="T73">
        <v>50.664000000000001</v>
      </c>
      <c r="U73">
        <v>208.709</v>
      </c>
      <c r="V73">
        <v>3674.0479999999998</v>
      </c>
      <c r="W73">
        <v>1285.992</v>
      </c>
      <c r="X73">
        <v>797.17600000000004</v>
      </c>
      <c r="Y73">
        <v>452.61599999999999</v>
      </c>
      <c r="Z73">
        <v>2082.7600000000002</v>
      </c>
    </row>
    <row r="74" spans="1:26" x14ac:dyDescent="0.35">
      <c r="A74" s="3" t="s">
        <v>173</v>
      </c>
      <c r="B74" s="3">
        <v>1072</v>
      </c>
      <c r="C74">
        <v>20</v>
      </c>
      <c r="D74">
        <v>7</v>
      </c>
      <c r="E74">
        <v>2024</v>
      </c>
      <c r="F74" s="4">
        <f t="shared" si="1"/>
        <v>45493</v>
      </c>
      <c r="G74" s="3" t="s">
        <v>174</v>
      </c>
      <c r="H74" s="3">
        <v>29</v>
      </c>
      <c r="I74" s="3" t="s">
        <v>20</v>
      </c>
      <c r="J74" s="3" t="s">
        <v>21</v>
      </c>
      <c r="K74" s="3" t="s">
        <v>34</v>
      </c>
      <c r="L74" s="3" t="s">
        <v>48</v>
      </c>
      <c r="M74" s="3">
        <v>896.97</v>
      </c>
      <c r="N74" s="3">
        <v>4</v>
      </c>
      <c r="O74" s="3">
        <v>10</v>
      </c>
      <c r="P74" s="3" t="s">
        <v>654</v>
      </c>
      <c r="Q74" s="3"/>
      <c r="R74" s="3">
        <v>7</v>
      </c>
      <c r="S74" s="3">
        <v>3229.0920000000001</v>
      </c>
      <c r="T74">
        <v>797.73400000000004</v>
      </c>
      <c r="U74">
        <v>2394.0479999999998</v>
      </c>
      <c r="V74">
        <v>1829.88</v>
      </c>
      <c r="W74">
        <v>1994.5920000000001</v>
      </c>
      <c r="X74">
        <v>218.07599999999999</v>
      </c>
      <c r="Y74">
        <v>284.35199999999998</v>
      </c>
      <c r="Z74">
        <v>876.03300000000002</v>
      </c>
    </row>
    <row r="75" spans="1:26" x14ac:dyDescent="0.35">
      <c r="A75" s="3" t="s">
        <v>175</v>
      </c>
      <c r="B75" s="3">
        <v>1073</v>
      </c>
      <c r="C75">
        <v>26</v>
      </c>
      <c r="D75">
        <v>9</v>
      </c>
      <c r="E75">
        <v>2024</v>
      </c>
      <c r="F75" s="4">
        <f t="shared" si="1"/>
        <v>45561</v>
      </c>
      <c r="G75" s="3" t="s">
        <v>98</v>
      </c>
      <c r="H75" s="3"/>
      <c r="I75" s="3" t="s">
        <v>32</v>
      </c>
      <c r="J75" s="3" t="s">
        <v>655</v>
      </c>
      <c r="K75" s="3" t="s">
        <v>34</v>
      </c>
      <c r="L75" s="3" t="s">
        <v>48</v>
      </c>
      <c r="M75" s="3">
        <v>76.81</v>
      </c>
      <c r="N75" s="3">
        <v>2</v>
      </c>
      <c r="O75" s="3">
        <v>5</v>
      </c>
      <c r="P75" s="3" t="s">
        <v>653</v>
      </c>
      <c r="Q75" s="3"/>
      <c r="R75" s="3">
        <v>8</v>
      </c>
      <c r="S75" s="3">
        <v>145.93899999999999</v>
      </c>
      <c r="T75">
        <v>3287.97</v>
      </c>
      <c r="U75">
        <v>293.22699999999998</v>
      </c>
      <c r="V75">
        <v>2709.3494999999998</v>
      </c>
      <c r="W75">
        <v>1118.4065000000001</v>
      </c>
      <c r="X75">
        <v>1849.8240000000001</v>
      </c>
      <c r="Y75">
        <v>126.20699999999999</v>
      </c>
      <c r="Z75">
        <v>134.03700000000001</v>
      </c>
    </row>
    <row r="76" spans="1:26" x14ac:dyDescent="0.35">
      <c r="A76" s="3" t="s">
        <v>176</v>
      </c>
      <c r="B76" s="3">
        <v>1074</v>
      </c>
      <c r="C76">
        <v>16</v>
      </c>
      <c r="D76">
        <v>12</v>
      </c>
      <c r="E76">
        <v>2024</v>
      </c>
      <c r="F76" s="4">
        <f t="shared" si="1"/>
        <v>45642</v>
      </c>
      <c r="G76" s="3" t="s">
        <v>134</v>
      </c>
      <c r="H76" s="3">
        <v>24</v>
      </c>
      <c r="I76" s="3" t="s">
        <v>32</v>
      </c>
      <c r="J76" s="3" t="s">
        <v>21</v>
      </c>
      <c r="K76" s="3" t="s">
        <v>47</v>
      </c>
      <c r="L76" s="3" t="s">
        <v>28</v>
      </c>
      <c r="M76" s="3">
        <v>1085.42</v>
      </c>
      <c r="N76" s="3">
        <v>4</v>
      </c>
      <c r="O76" s="3">
        <v>15</v>
      </c>
      <c r="P76" s="3" t="s">
        <v>654</v>
      </c>
      <c r="Q76" s="3"/>
      <c r="R76" s="3">
        <v>1</v>
      </c>
      <c r="S76" s="3">
        <v>3690.4279999999999</v>
      </c>
      <c r="T76">
        <v>695.02</v>
      </c>
      <c r="U76">
        <v>2715.7440000000001</v>
      </c>
      <c r="V76">
        <v>1400.001</v>
      </c>
      <c r="W76">
        <v>1277.4224999999999</v>
      </c>
      <c r="X76">
        <v>2147.6999999999998</v>
      </c>
      <c r="Y76">
        <v>1268.4780000000001</v>
      </c>
      <c r="Z76">
        <v>815.53599999999994</v>
      </c>
    </row>
    <row r="77" spans="1:26" x14ac:dyDescent="0.35">
      <c r="A77" s="3" t="s">
        <v>177</v>
      </c>
      <c r="B77" s="3">
        <v>1075</v>
      </c>
      <c r="C77">
        <v>30</v>
      </c>
      <c r="D77">
        <v>10</v>
      </c>
      <c r="E77">
        <v>2024</v>
      </c>
      <c r="F77" s="4">
        <f t="shared" si="1"/>
        <v>45595</v>
      </c>
      <c r="G77" s="3" t="s">
        <v>178</v>
      </c>
      <c r="H77" s="3">
        <v>45</v>
      </c>
      <c r="I77" s="3" t="s">
        <v>20</v>
      </c>
      <c r="J77" s="3" t="s">
        <v>33</v>
      </c>
      <c r="K77" s="3" t="s">
        <v>34</v>
      </c>
      <c r="L77" s="3" t="s">
        <v>79</v>
      </c>
      <c r="M77" s="3">
        <v>1025.67</v>
      </c>
      <c r="N77" s="3">
        <v>2</v>
      </c>
      <c r="O77" s="3">
        <v>15</v>
      </c>
      <c r="P77" s="3" t="s">
        <v>653</v>
      </c>
      <c r="Q77" s="3"/>
      <c r="R77" s="3">
        <v>1</v>
      </c>
      <c r="S77" s="3">
        <v>1743.6389999999999</v>
      </c>
      <c r="T77">
        <v>1245.4880000000001</v>
      </c>
      <c r="U77">
        <v>653.94200000000001</v>
      </c>
      <c r="V77">
        <v>1120.1579999999999</v>
      </c>
      <c r="W77">
        <v>1881.252</v>
      </c>
      <c r="X77">
        <v>466.14400000000001</v>
      </c>
      <c r="Y77">
        <v>425.52</v>
      </c>
      <c r="Z77">
        <v>1507.152</v>
      </c>
    </row>
    <row r="78" spans="1:26" x14ac:dyDescent="0.35">
      <c r="A78" s="3" t="s">
        <v>179</v>
      </c>
      <c r="B78" s="3">
        <v>1076</v>
      </c>
      <c r="C78">
        <v>27</v>
      </c>
      <c r="D78">
        <v>9</v>
      </c>
      <c r="E78">
        <v>2024</v>
      </c>
      <c r="F78" s="4">
        <f t="shared" si="1"/>
        <v>45562</v>
      </c>
      <c r="G78" s="3" t="s">
        <v>172</v>
      </c>
      <c r="H78" s="3"/>
      <c r="I78" s="3" t="s">
        <v>32</v>
      </c>
      <c r="J78" s="3" t="s">
        <v>655</v>
      </c>
      <c r="K78" s="3" t="s">
        <v>38</v>
      </c>
      <c r="L78" s="3" t="s">
        <v>64</v>
      </c>
      <c r="M78" s="3">
        <v>808.01</v>
      </c>
      <c r="N78" s="3">
        <v>2</v>
      </c>
      <c r="O78" s="3">
        <v>5</v>
      </c>
      <c r="P78" s="3" t="s">
        <v>24</v>
      </c>
      <c r="Q78" s="3"/>
      <c r="R78" s="3">
        <v>8</v>
      </c>
      <c r="S78" s="3">
        <v>1535.2190000000001</v>
      </c>
      <c r="T78">
        <v>3022.569</v>
      </c>
      <c r="U78">
        <v>365.80700000000002</v>
      </c>
      <c r="V78">
        <v>3276.9014999999999</v>
      </c>
      <c r="W78">
        <v>136.19200000000001</v>
      </c>
      <c r="X78">
        <v>2225.6145000000001</v>
      </c>
      <c r="Y78">
        <v>411.34050000000002</v>
      </c>
      <c r="Z78">
        <v>1964.76</v>
      </c>
    </row>
    <row r="79" spans="1:26" x14ac:dyDescent="0.35">
      <c r="A79" s="3" t="s">
        <v>180</v>
      </c>
      <c r="B79" s="3">
        <v>1077</v>
      </c>
      <c r="C79">
        <v>2</v>
      </c>
      <c r="D79">
        <v>8</v>
      </c>
      <c r="E79">
        <v>2024</v>
      </c>
      <c r="F79" s="4">
        <f t="shared" si="1"/>
        <v>45506</v>
      </c>
      <c r="G79" s="3" t="s">
        <v>85</v>
      </c>
      <c r="H79" s="3">
        <v>48</v>
      </c>
      <c r="I79" s="3" t="s">
        <v>32</v>
      </c>
      <c r="J79" s="3" t="s">
        <v>21</v>
      </c>
      <c r="K79" s="3" t="s">
        <v>38</v>
      </c>
      <c r="L79" s="3" t="s">
        <v>28</v>
      </c>
      <c r="M79" s="3">
        <v>720</v>
      </c>
      <c r="N79" s="3">
        <v>1</v>
      </c>
      <c r="O79" s="3">
        <v>0</v>
      </c>
      <c r="P79" s="3" t="s">
        <v>24</v>
      </c>
      <c r="Q79" s="3"/>
      <c r="R79" s="3">
        <v>4</v>
      </c>
      <c r="S79" s="3">
        <v>720</v>
      </c>
      <c r="T79">
        <v>1623.9680000000001</v>
      </c>
      <c r="U79">
        <v>2529.7784999999999</v>
      </c>
      <c r="V79">
        <v>903.86099999999999</v>
      </c>
      <c r="W79">
        <v>789.93449999999996</v>
      </c>
      <c r="X79">
        <v>697.88</v>
      </c>
      <c r="Y79">
        <v>130.66200000000001</v>
      </c>
      <c r="Z79">
        <v>3575.04</v>
      </c>
    </row>
    <row r="80" spans="1:26" x14ac:dyDescent="0.35">
      <c r="A80" s="3" t="s">
        <v>181</v>
      </c>
      <c r="B80" s="3">
        <v>1078</v>
      </c>
      <c r="C80">
        <v>8</v>
      </c>
      <c r="D80">
        <v>9</v>
      </c>
      <c r="E80">
        <v>2024</v>
      </c>
      <c r="F80" s="4">
        <f t="shared" si="1"/>
        <v>45543</v>
      </c>
      <c r="G80" s="3" t="s">
        <v>182</v>
      </c>
      <c r="H80" s="3">
        <v>36</v>
      </c>
      <c r="I80" s="3" t="s">
        <v>32</v>
      </c>
      <c r="J80" s="3" t="s">
        <v>33</v>
      </c>
      <c r="K80" s="3" t="s">
        <v>34</v>
      </c>
      <c r="L80" s="3" t="s">
        <v>35</v>
      </c>
      <c r="M80" s="3">
        <v>1072.92</v>
      </c>
      <c r="N80" s="3">
        <v>4</v>
      </c>
      <c r="O80" s="3">
        <v>10</v>
      </c>
      <c r="P80" s="3" t="s">
        <v>653</v>
      </c>
      <c r="Q80" s="3"/>
      <c r="R80" s="3">
        <v>5</v>
      </c>
      <c r="S80" s="3">
        <v>3862.5120000000002</v>
      </c>
      <c r="T80">
        <v>618.75</v>
      </c>
      <c r="U80">
        <v>58.994999999999997</v>
      </c>
      <c r="V80">
        <v>178.608</v>
      </c>
      <c r="W80">
        <v>1194.528</v>
      </c>
      <c r="X80">
        <v>30.46</v>
      </c>
      <c r="Y80">
        <v>1573.741</v>
      </c>
      <c r="Z80">
        <v>391.56</v>
      </c>
    </row>
    <row r="81" spans="1:26" x14ac:dyDescent="0.35">
      <c r="A81" s="3" t="s">
        <v>183</v>
      </c>
      <c r="B81" s="3">
        <v>1079</v>
      </c>
      <c r="C81">
        <v>8</v>
      </c>
      <c r="D81">
        <v>7</v>
      </c>
      <c r="E81">
        <v>2024</v>
      </c>
      <c r="F81" s="4">
        <f t="shared" si="1"/>
        <v>45481</v>
      </c>
      <c r="G81" s="3" t="s">
        <v>87</v>
      </c>
      <c r="H81" s="3">
        <v>33</v>
      </c>
      <c r="I81" s="3" t="s">
        <v>20</v>
      </c>
      <c r="J81" s="3" t="s">
        <v>46</v>
      </c>
      <c r="K81" s="3" t="s">
        <v>38</v>
      </c>
      <c r="L81" s="3" t="s">
        <v>125</v>
      </c>
      <c r="M81" s="3">
        <v>238.69</v>
      </c>
      <c r="N81" s="3">
        <v>3</v>
      </c>
      <c r="O81" s="3">
        <v>10</v>
      </c>
      <c r="P81" s="3" t="s">
        <v>653</v>
      </c>
      <c r="Q81" s="3">
        <v>3</v>
      </c>
      <c r="R81" s="3">
        <v>8</v>
      </c>
      <c r="S81" s="3">
        <v>644.46299999999997</v>
      </c>
      <c r="T81">
        <v>3154.74</v>
      </c>
      <c r="U81">
        <v>81.215999999999994</v>
      </c>
      <c r="V81">
        <v>400.31200000000001</v>
      </c>
      <c r="W81">
        <v>920.77800000000002</v>
      </c>
      <c r="X81">
        <v>3592.29</v>
      </c>
      <c r="Z81">
        <v>2902.5884999999998</v>
      </c>
    </row>
    <row r="82" spans="1:26" x14ac:dyDescent="0.35">
      <c r="A82" s="3" t="s">
        <v>184</v>
      </c>
      <c r="B82" s="3">
        <v>1080</v>
      </c>
      <c r="C82">
        <v>22</v>
      </c>
      <c r="D82">
        <v>10</v>
      </c>
      <c r="E82">
        <v>2024</v>
      </c>
      <c r="F82" s="4">
        <f t="shared" si="1"/>
        <v>45587</v>
      </c>
      <c r="G82" s="3" t="s">
        <v>167</v>
      </c>
      <c r="H82" s="3">
        <v>22</v>
      </c>
      <c r="I82" s="3" t="s">
        <v>20</v>
      </c>
      <c r="J82" s="3" t="s">
        <v>46</v>
      </c>
      <c r="K82" s="3" t="s">
        <v>47</v>
      </c>
      <c r="L82" s="3" t="s">
        <v>55</v>
      </c>
      <c r="M82" s="3">
        <v>113.18</v>
      </c>
      <c r="N82" s="3">
        <v>4</v>
      </c>
      <c r="O82" s="3">
        <v>15</v>
      </c>
      <c r="P82" s="3" t="s">
        <v>653</v>
      </c>
      <c r="Q82" s="3">
        <v>2</v>
      </c>
      <c r="R82" s="3">
        <v>5</v>
      </c>
      <c r="S82" s="3">
        <v>384.81200000000001</v>
      </c>
      <c r="T82">
        <v>572.26099999999997</v>
      </c>
      <c r="U82">
        <v>2366.0129999999999</v>
      </c>
      <c r="V82">
        <v>1381.152</v>
      </c>
      <c r="W82">
        <v>765.59550000000002</v>
      </c>
      <c r="X82">
        <v>735.3</v>
      </c>
      <c r="Z82">
        <v>549.66600000000005</v>
      </c>
    </row>
    <row r="83" spans="1:26" x14ac:dyDescent="0.35">
      <c r="A83" s="3" t="s">
        <v>185</v>
      </c>
      <c r="B83" s="3">
        <v>1081</v>
      </c>
      <c r="C83">
        <v>31</v>
      </c>
      <c r="D83">
        <v>7</v>
      </c>
      <c r="E83">
        <v>2024</v>
      </c>
      <c r="F83" s="4">
        <f t="shared" si="1"/>
        <v>45504</v>
      </c>
      <c r="G83" s="3" t="s">
        <v>186</v>
      </c>
      <c r="H83" s="3">
        <v>52</v>
      </c>
      <c r="I83" s="3" t="s">
        <v>32</v>
      </c>
      <c r="J83" s="3" t="s">
        <v>21</v>
      </c>
      <c r="K83" s="3" t="s">
        <v>22</v>
      </c>
      <c r="L83" s="3" t="s">
        <v>64</v>
      </c>
      <c r="M83" s="3">
        <v>302.62</v>
      </c>
      <c r="N83" s="3">
        <v>4</v>
      </c>
      <c r="O83" s="3">
        <v>10</v>
      </c>
      <c r="P83" s="3" t="s">
        <v>654</v>
      </c>
      <c r="Q83" s="3">
        <v>3</v>
      </c>
      <c r="R83" s="3">
        <v>4</v>
      </c>
      <c r="S83" s="3">
        <v>1089.432</v>
      </c>
      <c r="T83">
        <v>4527.7759999999998</v>
      </c>
      <c r="U83">
        <v>1276.9110000000001</v>
      </c>
      <c r="V83">
        <v>1557.952</v>
      </c>
      <c r="W83">
        <v>1425.104</v>
      </c>
      <c r="X83">
        <v>3454.3519999999999</v>
      </c>
      <c r="Z83">
        <v>909.65350000000001</v>
      </c>
    </row>
    <row r="84" spans="1:26" x14ac:dyDescent="0.35">
      <c r="A84" s="3" t="s">
        <v>187</v>
      </c>
      <c r="B84" s="3">
        <v>1082</v>
      </c>
      <c r="C84">
        <v>26</v>
      </c>
      <c r="D84">
        <v>7</v>
      </c>
      <c r="E84">
        <v>2024</v>
      </c>
      <c r="F84" s="4">
        <f t="shared" si="1"/>
        <v>45499</v>
      </c>
      <c r="G84" s="3" t="s">
        <v>132</v>
      </c>
      <c r="H84" s="3">
        <v>29</v>
      </c>
      <c r="I84" s="3" t="s">
        <v>20</v>
      </c>
      <c r="J84" s="3" t="s">
        <v>33</v>
      </c>
      <c r="K84" s="3" t="s">
        <v>47</v>
      </c>
      <c r="L84" s="3" t="s">
        <v>23</v>
      </c>
      <c r="M84" s="3">
        <v>957.6</v>
      </c>
      <c r="N84" s="3">
        <v>3</v>
      </c>
      <c r="O84" s="3">
        <v>5</v>
      </c>
      <c r="P84" s="3" t="s">
        <v>653</v>
      </c>
      <c r="Q84" s="3">
        <v>3</v>
      </c>
      <c r="R84" s="3">
        <v>6</v>
      </c>
      <c r="S84" s="3">
        <v>2729.16</v>
      </c>
      <c r="T84">
        <v>700.64</v>
      </c>
      <c r="U84">
        <v>1591.326</v>
      </c>
      <c r="V84">
        <v>336.14100000000002</v>
      </c>
      <c r="W84">
        <v>744.05</v>
      </c>
      <c r="X84">
        <v>2032.5540000000001</v>
      </c>
      <c r="Z84">
        <v>134.75899999999999</v>
      </c>
    </row>
    <row r="85" spans="1:26" x14ac:dyDescent="0.35">
      <c r="A85" s="3" t="s">
        <v>188</v>
      </c>
      <c r="B85" s="3">
        <v>1083</v>
      </c>
      <c r="C85">
        <v>24</v>
      </c>
      <c r="D85">
        <v>8</v>
      </c>
      <c r="E85">
        <v>2024</v>
      </c>
      <c r="F85" s="4">
        <f t="shared" si="1"/>
        <v>45528</v>
      </c>
      <c r="G85" s="3" t="s">
        <v>102</v>
      </c>
      <c r="H85" s="3">
        <v>42</v>
      </c>
      <c r="I85" s="3" t="s">
        <v>32</v>
      </c>
      <c r="J85" s="3" t="s">
        <v>33</v>
      </c>
      <c r="K85" s="3" t="s">
        <v>47</v>
      </c>
      <c r="L85" s="3" t="s">
        <v>35</v>
      </c>
      <c r="M85" s="3">
        <v>60.91</v>
      </c>
      <c r="N85" s="3">
        <v>1</v>
      </c>
      <c r="O85" s="3">
        <v>0</v>
      </c>
      <c r="P85" s="3" t="s">
        <v>24</v>
      </c>
      <c r="Q85" s="3">
        <v>4</v>
      </c>
      <c r="R85" s="3">
        <v>5</v>
      </c>
      <c r="S85" s="3">
        <v>60.91</v>
      </c>
      <c r="T85">
        <v>1383.96</v>
      </c>
      <c r="U85">
        <v>154.6695</v>
      </c>
      <c r="V85">
        <v>210.33</v>
      </c>
      <c r="W85">
        <v>430.29300000000001</v>
      </c>
      <c r="X85">
        <v>4072.76</v>
      </c>
      <c r="Z85">
        <v>1336.0419999999999</v>
      </c>
    </row>
    <row r="86" spans="1:26" x14ac:dyDescent="0.35">
      <c r="A86" s="3" t="s">
        <v>189</v>
      </c>
      <c r="B86" s="3">
        <v>1084</v>
      </c>
      <c r="C86">
        <v>3</v>
      </c>
      <c r="D86">
        <v>12</v>
      </c>
      <c r="E86">
        <v>2024</v>
      </c>
      <c r="F86" s="4">
        <f t="shared" si="1"/>
        <v>45629</v>
      </c>
      <c r="G86" s="3" t="s">
        <v>154</v>
      </c>
      <c r="H86" s="3"/>
      <c r="I86" s="3" t="s">
        <v>32</v>
      </c>
      <c r="J86" s="3" t="s">
        <v>655</v>
      </c>
      <c r="K86" s="3" t="s">
        <v>38</v>
      </c>
      <c r="L86" s="3" t="s">
        <v>64</v>
      </c>
      <c r="M86" s="3">
        <v>707.71</v>
      </c>
      <c r="N86" s="3">
        <v>4</v>
      </c>
      <c r="O86" s="3">
        <v>5</v>
      </c>
      <c r="P86" s="3" t="s">
        <v>24</v>
      </c>
      <c r="Q86" s="3"/>
      <c r="R86" s="3">
        <v>7</v>
      </c>
      <c r="S86" s="3">
        <v>2689.2979999999998</v>
      </c>
      <c r="T86">
        <v>1242.624</v>
      </c>
      <c r="U86">
        <v>3263.0039999999999</v>
      </c>
      <c r="V86">
        <v>350.01799999999997</v>
      </c>
      <c r="W86">
        <v>300.19049999999999</v>
      </c>
      <c r="X86">
        <v>199.28</v>
      </c>
      <c r="Z86">
        <v>3703.3139999999999</v>
      </c>
    </row>
    <row r="87" spans="1:26" x14ac:dyDescent="0.35">
      <c r="A87" s="3" t="s">
        <v>190</v>
      </c>
      <c r="B87" s="3">
        <v>1085</v>
      </c>
      <c r="C87">
        <v>22</v>
      </c>
      <c r="D87">
        <v>2</v>
      </c>
      <c r="E87">
        <v>2024</v>
      </c>
      <c r="F87" s="4">
        <f t="shared" si="1"/>
        <v>45344</v>
      </c>
      <c r="G87" s="3" t="s">
        <v>72</v>
      </c>
      <c r="H87" s="3">
        <v>53</v>
      </c>
      <c r="I87" s="3" t="s">
        <v>32</v>
      </c>
      <c r="J87" s="3" t="s">
        <v>46</v>
      </c>
      <c r="K87" s="3" t="s">
        <v>22</v>
      </c>
      <c r="L87" s="3" t="s">
        <v>28</v>
      </c>
      <c r="M87" s="3">
        <v>1194.6199999999999</v>
      </c>
      <c r="N87" s="3">
        <v>4</v>
      </c>
      <c r="O87" s="3">
        <v>20</v>
      </c>
      <c r="P87" s="3" t="s">
        <v>29</v>
      </c>
      <c r="Q87" s="3">
        <v>3</v>
      </c>
      <c r="R87" s="3">
        <v>7</v>
      </c>
      <c r="S87" s="3">
        <v>3822.7840000000001</v>
      </c>
      <c r="T87">
        <v>1717</v>
      </c>
      <c r="U87">
        <v>1118.5065</v>
      </c>
      <c r="V87">
        <v>335.04</v>
      </c>
      <c r="W87">
        <v>421.08150000000001</v>
      </c>
      <c r="X87">
        <v>476.32</v>
      </c>
      <c r="Z87">
        <v>860.13</v>
      </c>
    </row>
    <row r="88" spans="1:26" x14ac:dyDescent="0.35">
      <c r="A88" s="3" t="s">
        <v>191</v>
      </c>
      <c r="B88" s="3">
        <v>1086</v>
      </c>
      <c r="C88">
        <v>6</v>
      </c>
      <c r="D88">
        <v>10</v>
      </c>
      <c r="E88">
        <v>2024</v>
      </c>
      <c r="F88" s="4">
        <f t="shared" si="1"/>
        <v>45571</v>
      </c>
      <c r="G88" s="3" t="s">
        <v>137</v>
      </c>
      <c r="H88" s="3">
        <v>40</v>
      </c>
      <c r="I88" s="3" t="s">
        <v>32</v>
      </c>
      <c r="J88" s="3" t="s">
        <v>27</v>
      </c>
      <c r="K88" s="3" t="s">
        <v>38</v>
      </c>
      <c r="L88" s="3" t="s">
        <v>42</v>
      </c>
      <c r="M88" s="3">
        <v>1029.72</v>
      </c>
      <c r="N88" s="3">
        <v>2</v>
      </c>
      <c r="O88" s="3">
        <v>15</v>
      </c>
      <c r="P88" s="3" t="s">
        <v>653</v>
      </c>
      <c r="Q88" s="3">
        <v>5</v>
      </c>
      <c r="R88" s="3">
        <v>4</v>
      </c>
      <c r="S88" s="3">
        <v>1750.5239999999999</v>
      </c>
      <c r="T88">
        <v>4363.92</v>
      </c>
      <c r="U88">
        <v>2093.1165000000001</v>
      </c>
      <c r="V88">
        <v>2906.01</v>
      </c>
      <c r="W88">
        <v>294.20999999999998</v>
      </c>
      <c r="X88">
        <v>851.53</v>
      </c>
      <c r="Z88">
        <v>2350.4</v>
      </c>
    </row>
    <row r="89" spans="1:26" x14ac:dyDescent="0.35">
      <c r="A89" s="3" t="s">
        <v>192</v>
      </c>
      <c r="B89" s="3">
        <v>1087</v>
      </c>
      <c r="C89">
        <v>4</v>
      </c>
      <c r="D89">
        <v>8</v>
      </c>
      <c r="E89">
        <v>2024</v>
      </c>
      <c r="F89" s="4">
        <f t="shared" si="1"/>
        <v>45508</v>
      </c>
      <c r="G89" s="3" t="s">
        <v>137</v>
      </c>
      <c r="H89" s="3">
        <v>33</v>
      </c>
      <c r="I89" s="3" t="s">
        <v>20</v>
      </c>
      <c r="J89" s="3" t="s">
        <v>46</v>
      </c>
      <c r="K89" s="3" t="s">
        <v>41</v>
      </c>
      <c r="L89" s="3" t="s">
        <v>55</v>
      </c>
      <c r="M89" s="3">
        <v>635.30999999999995</v>
      </c>
      <c r="N89" s="3">
        <v>4</v>
      </c>
      <c r="O89" s="3">
        <v>10</v>
      </c>
      <c r="P89" s="3" t="s">
        <v>654</v>
      </c>
      <c r="Q89" s="3">
        <v>5</v>
      </c>
      <c r="R89" s="3">
        <v>5</v>
      </c>
      <c r="S89" s="3">
        <v>2287.116</v>
      </c>
      <c r="T89">
        <v>1380.096</v>
      </c>
      <c r="U89">
        <v>81.472499999999997</v>
      </c>
      <c r="V89">
        <v>2028.16</v>
      </c>
      <c r="W89">
        <v>822.89350000000002</v>
      </c>
      <c r="X89">
        <v>1623.2840000000001</v>
      </c>
      <c r="Z89">
        <v>1472.7360000000001</v>
      </c>
    </row>
    <row r="90" spans="1:26" x14ac:dyDescent="0.35">
      <c r="A90" s="3" t="s">
        <v>193</v>
      </c>
      <c r="B90" s="3">
        <v>1088</v>
      </c>
      <c r="C90">
        <v>8</v>
      </c>
      <c r="D90">
        <v>9</v>
      </c>
      <c r="E90">
        <v>2024</v>
      </c>
      <c r="F90" s="4">
        <f t="shared" si="1"/>
        <v>45543</v>
      </c>
      <c r="G90" s="3" t="s">
        <v>50</v>
      </c>
      <c r="H90" s="3">
        <v>56</v>
      </c>
      <c r="I90" s="3" t="s">
        <v>20</v>
      </c>
      <c r="J90" s="3" t="s">
        <v>46</v>
      </c>
      <c r="K90" s="3" t="s">
        <v>38</v>
      </c>
      <c r="L90" s="3" t="s">
        <v>64</v>
      </c>
      <c r="M90" s="3">
        <v>95.1</v>
      </c>
      <c r="N90" s="3">
        <v>3</v>
      </c>
      <c r="O90" s="3">
        <v>20</v>
      </c>
      <c r="P90" s="3" t="s">
        <v>654</v>
      </c>
      <c r="Q90" s="3"/>
      <c r="R90" s="3">
        <v>3</v>
      </c>
      <c r="S90" s="3">
        <v>228.24</v>
      </c>
      <c r="T90">
        <v>700.46349999999995</v>
      </c>
      <c r="U90">
        <v>2774.1239999999998</v>
      </c>
      <c r="V90">
        <v>1361.04</v>
      </c>
      <c r="W90">
        <v>4019.364</v>
      </c>
      <c r="X90">
        <v>381.67200000000003</v>
      </c>
      <c r="Z90">
        <v>3169.8879999999999</v>
      </c>
    </row>
    <row r="91" spans="1:26" x14ac:dyDescent="0.35">
      <c r="A91" s="3" t="s">
        <v>194</v>
      </c>
      <c r="B91" s="3">
        <v>1089</v>
      </c>
      <c r="C91">
        <v>6</v>
      </c>
      <c r="D91">
        <v>7</v>
      </c>
      <c r="E91">
        <v>2024</v>
      </c>
      <c r="F91" s="4">
        <f t="shared" si="1"/>
        <v>45479</v>
      </c>
      <c r="G91" s="3" t="s">
        <v>54</v>
      </c>
      <c r="H91" s="3">
        <v>59</v>
      </c>
      <c r="I91" s="3" t="s">
        <v>20</v>
      </c>
      <c r="J91" s="3" t="s">
        <v>51</v>
      </c>
      <c r="K91" s="3" t="s">
        <v>38</v>
      </c>
      <c r="L91" s="3" t="s">
        <v>79</v>
      </c>
      <c r="M91" s="3">
        <v>1001.02</v>
      </c>
      <c r="N91" s="3">
        <v>2</v>
      </c>
      <c r="O91" s="3">
        <v>10</v>
      </c>
      <c r="P91" s="3" t="s">
        <v>654</v>
      </c>
      <c r="Q91" s="3">
        <v>4</v>
      </c>
      <c r="R91" s="3">
        <v>4</v>
      </c>
      <c r="S91" s="3">
        <v>1801.836</v>
      </c>
      <c r="T91">
        <v>2293.94</v>
      </c>
      <c r="U91">
        <v>1996.8240000000001</v>
      </c>
      <c r="V91">
        <v>762.88</v>
      </c>
      <c r="W91">
        <v>1344.654</v>
      </c>
      <c r="X91">
        <v>465.76</v>
      </c>
      <c r="Z91">
        <v>1776.329</v>
      </c>
    </row>
    <row r="92" spans="1:26" x14ac:dyDescent="0.35">
      <c r="A92" s="3" t="s">
        <v>195</v>
      </c>
      <c r="B92" s="3">
        <v>1090</v>
      </c>
      <c r="C92">
        <v>10</v>
      </c>
      <c r="D92">
        <v>2</v>
      </c>
      <c r="E92">
        <v>2024</v>
      </c>
      <c r="F92" s="4">
        <f t="shared" si="1"/>
        <v>45332</v>
      </c>
      <c r="G92" s="3" t="s">
        <v>154</v>
      </c>
      <c r="H92" s="3">
        <v>56</v>
      </c>
      <c r="I92" s="3" t="s">
        <v>32</v>
      </c>
      <c r="J92" s="3" t="s">
        <v>27</v>
      </c>
      <c r="K92" s="3" t="s">
        <v>38</v>
      </c>
      <c r="L92" s="3" t="s">
        <v>48</v>
      </c>
      <c r="M92" s="3">
        <v>726.79</v>
      </c>
      <c r="N92" s="3">
        <v>1</v>
      </c>
      <c r="O92" s="3">
        <v>0</v>
      </c>
      <c r="P92" s="3" t="s">
        <v>29</v>
      </c>
      <c r="Q92" s="3">
        <v>1</v>
      </c>
      <c r="R92" s="3">
        <v>4</v>
      </c>
      <c r="S92" s="3">
        <v>726.79</v>
      </c>
      <c r="T92">
        <v>3956.04</v>
      </c>
      <c r="U92">
        <v>3147.444</v>
      </c>
      <c r="V92">
        <v>1579</v>
      </c>
      <c r="W92">
        <v>1078.2719999999999</v>
      </c>
      <c r="X92">
        <v>1193.9939999999999</v>
      </c>
      <c r="Z92">
        <v>48.384</v>
      </c>
    </row>
    <row r="93" spans="1:26" x14ac:dyDescent="0.35">
      <c r="A93" s="3" t="s">
        <v>196</v>
      </c>
      <c r="B93" s="3">
        <v>1091</v>
      </c>
      <c r="C93">
        <v>5</v>
      </c>
      <c r="D93">
        <v>6</v>
      </c>
      <c r="E93">
        <v>2024</v>
      </c>
      <c r="F93" s="4">
        <f t="shared" si="1"/>
        <v>45448</v>
      </c>
      <c r="G93" s="3" t="s">
        <v>26</v>
      </c>
      <c r="H93" s="3">
        <v>31</v>
      </c>
      <c r="I93" s="3" t="s">
        <v>32</v>
      </c>
      <c r="J93" s="3" t="s">
        <v>51</v>
      </c>
      <c r="K93" s="3" t="s">
        <v>22</v>
      </c>
      <c r="L93" s="3" t="s">
        <v>48</v>
      </c>
      <c r="M93" s="3">
        <v>155.62</v>
      </c>
      <c r="N93" s="3">
        <v>2</v>
      </c>
      <c r="O93" s="3">
        <v>0</v>
      </c>
      <c r="P93" s="3" t="s">
        <v>24</v>
      </c>
      <c r="Q93" s="3">
        <v>1</v>
      </c>
      <c r="R93" s="3">
        <v>3</v>
      </c>
      <c r="S93" s="3">
        <v>311.24</v>
      </c>
      <c r="T93">
        <v>1541.9</v>
      </c>
      <c r="U93">
        <v>3091.9364999999998</v>
      </c>
      <c r="V93">
        <v>1205.4000000000001</v>
      </c>
      <c r="W93">
        <v>3103.04</v>
      </c>
      <c r="X93">
        <v>2027.2619999999999</v>
      </c>
      <c r="Z93">
        <v>691.76</v>
      </c>
    </row>
    <row r="94" spans="1:26" x14ac:dyDescent="0.35">
      <c r="A94" s="3" t="s">
        <v>197</v>
      </c>
      <c r="B94" s="3">
        <v>1092</v>
      </c>
      <c r="C94">
        <v>15</v>
      </c>
      <c r="D94">
        <v>1</v>
      </c>
      <c r="E94">
        <v>2024</v>
      </c>
      <c r="F94" s="4">
        <f t="shared" si="1"/>
        <v>45306</v>
      </c>
      <c r="G94" s="3" t="s">
        <v>50</v>
      </c>
      <c r="H94" s="3">
        <v>48</v>
      </c>
      <c r="I94" s="3" t="s">
        <v>32</v>
      </c>
      <c r="J94" s="3" t="s">
        <v>27</v>
      </c>
      <c r="K94" s="3" t="s">
        <v>38</v>
      </c>
      <c r="L94" s="3" t="s">
        <v>55</v>
      </c>
      <c r="M94" s="3">
        <v>130.75</v>
      </c>
      <c r="N94" s="3">
        <v>3</v>
      </c>
      <c r="O94" s="3">
        <v>0</v>
      </c>
      <c r="P94" s="3" t="s">
        <v>654</v>
      </c>
      <c r="Q94" s="3"/>
      <c r="R94" s="3">
        <v>5</v>
      </c>
      <c r="S94" s="3">
        <v>392.25</v>
      </c>
      <c r="T94">
        <v>68.289000000000001</v>
      </c>
      <c r="U94">
        <v>331.33499999999998</v>
      </c>
      <c r="V94">
        <v>334.53</v>
      </c>
      <c r="W94">
        <v>745.19899999999996</v>
      </c>
      <c r="X94">
        <v>1363.0319999999999</v>
      </c>
      <c r="Z94">
        <v>840.375</v>
      </c>
    </row>
    <row r="95" spans="1:26" x14ac:dyDescent="0.35">
      <c r="A95" s="3" t="s">
        <v>198</v>
      </c>
      <c r="B95" s="3">
        <v>1093</v>
      </c>
      <c r="C95">
        <v>27</v>
      </c>
      <c r="D95">
        <v>10</v>
      </c>
      <c r="E95">
        <v>2024</v>
      </c>
      <c r="F95" s="4">
        <f t="shared" si="1"/>
        <v>45592</v>
      </c>
      <c r="G95" s="3" t="s">
        <v>167</v>
      </c>
      <c r="H95" s="3">
        <v>22</v>
      </c>
      <c r="I95" s="3" t="s">
        <v>20</v>
      </c>
      <c r="J95" s="3" t="s">
        <v>21</v>
      </c>
      <c r="K95" s="3" t="s">
        <v>22</v>
      </c>
      <c r="L95" s="3" t="s">
        <v>28</v>
      </c>
      <c r="M95" s="3">
        <v>1093.3599999999999</v>
      </c>
      <c r="N95" s="3">
        <v>3</v>
      </c>
      <c r="O95" s="3">
        <v>10</v>
      </c>
      <c r="P95" s="3" t="s">
        <v>24</v>
      </c>
      <c r="Q95" s="3">
        <v>5</v>
      </c>
      <c r="R95" s="3">
        <v>5</v>
      </c>
      <c r="S95" s="3">
        <v>2952.0720000000001</v>
      </c>
      <c r="T95">
        <v>583.16399999999999</v>
      </c>
      <c r="U95">
        <v>1008.9160000000001</v>
      </c>
      <c r="V95">
        <v>1602.335</v>
      </c>
      <c r="W95">
        <v>484.88</v>
      </c>
      <c r="X95">
        <v>825.49</v>
      </c>
      <c r="Z95">
        <v>314.56</v>
      </c>
    </row>
    <row r="96" spans="1:26" x14ac:dyDescent="0.35">
      <c r="A96" s="3" t="s">
        <v>199</v>
      </c>
      <c r="B96" s="3">
        <v>1094</v>
      </c>
      <c r="C96">
        <v>5</v>
      </c>
      <c r="D96">
        <v>3</v>
      </c>
      <c r="E96">
        <v>2024</v>
      </c>
      <c r="F96" s="4">
        <f t="shared" si="1"/>
        <v>45356</v>
      </c>
      <c r="G96" s="3" t="s">
        <v>78</v>
      </c>
      <c r="H96" s="3">
        <v>52</v>
      </c>
      <c r="I96" s="3" t="s">
        <v>32</v>
      </c>
      <c r="J96" s="3" t="s">
        <v>27</v>
      </c>
      <c r="K96" s="3" t="s">
        <v>34</v>
      </c>
      <c r="L96" s="3" t="s">
        <v>48</v>
      </c>
      <c r="M96" s="3">
        <v>809.66</v>
      </c>
      <c r="N96" s="3">
        <v>2</v>
      </c>
      <c r="O96" s="3">
        <v>20</v>
      </c>
      <c r="P96" s="3" t="s">
        <v>29</v>
      </c>
      <c r="Q96" s="3">
        <v>2</v>
      </c>
      <c r="R96" s="3">
        <v>7</v>
      </c>
      <c r="S96" s="3">
        <v>1295.4559999999999</v>
      </c>
      <c r="T96">
        <v>1391.712</v>
      </c>
      <c r="U96">
        <v>666.04499999999996</v>
      </c>
      <c r="V96">
        <v>1636.7360000000001</v>
      </c>
      <c r="W96">
        <v>676.096</v>
      </c>
      <c r="X96">
        <v>1379.9359999999999</v>
      </c>
      <c r="Z96">
        <v>4057.6</v>
      </c>
    </row>
    <row r="97" spans="1:26" x14ac:dyDescent="0.35">
      <c r="A97" s="3" t="s">
        <v>200</v>
      </c>
      <c r="B97" s="3">
        <v>1095</v>
      </c>
      <c r="C97">
        <v>10</v>
      </c>
      <c r="D97">
        <v>12</v>
      </c>
      <c r="E97">
        <v>2024</v>
      </c>
      <c r="F97" s="4">
        <f t="shared" si="1"/>
        <v>45636</v>
      </c>
      <c r="G97" s="3" t="s">
        <v>201</v>
      </c>
      <c r="H97" s="3">
        <v>40</v>
      </c>
      <c r="I97" s="3" t="s">
        <v>20</v>
      </c>
      <c r="J97" s="3" t="s">
        <v>51</v>
      </c>
      <c r="K97" s="3" t="s">
        <v>41</v>
      </c>
      <c r="L97" s="3" t="s">
        <v>64</v>
      </c>
      <c r="M97" s="3">
        <v>998.56</v>
      </c>
      <c r="N97" s="3">
        <v>1</v>
      </c>
      <c r="O97" s="3">
        <v>0</v>
      </c>
      <c r="P97" s="3" t="s">
        <v>653</v>
      </c>
      <c r="Q97" s="3">
        <v>4</v>
      </c>
      <c r="R97" s="3">
        <v>4</v>
      </c>
      <c r="S97" s="3">
        <v>998.56</v>
      </c>
      <c r="T97">
        <v>155.1</v>
      </c>
      <c r="U97">
        <v>229.15199999999999</v>
      </c>
      <c r="W97">
        <v>302.79599999999999</v>
      </c>
      <c r="X97">
        <v>39.216000000000001</v>
      </c>
      <c r="Z97">
        <v>993.86249999999995</v>
      </c>
    </row>
    <row r="98" spans="1:26" x14ac:dyDescent="0.35">
      <c r="A98" s="3" t="s">
        <v>202</v>
      </c>
      <c r="B98" s="3">
        <v>1096</v>
      </c>
      <c r="C98">
        <v>22</v>
      </c>
      <c r="D98">
        <v>11</v>
      </c>
      <c r="E98">
        <v>2024</v>
      </c>
      <c r="F98" s="4">
        <f t="shared" si="1"/>
        <v>45618</v>
      </c>
      <c r="G98" s="3" t="s">
        <v>102</v>
      </c>
      <c r="H98" s="3">
        <v>46</v>
      </c>
      <c r="I98" s="3" t="s">
        <v>20</v>
      </c>
      <c r="J98" s="3" t="s">
        <v>46</v>
      </c>
      <c r="K98" s="3" t="s">
        <v>22</v>
      </c>
      <c r="L98" s="3" t="s">
        <v>23</v>
      </c>
      <c r="M98" s="3">
        <v>1057.2</v>
      </c>
      <c r="N98" s="3">
        <v>2</v>
      </c>
      <c r="O98" s="3">
        <v>20</v>
      </c>
      <c r="P98" s="3" t="s">
        <v>653</v>
      </c>
      <c r="Q98" s="3"/>
      <c r="R98" s="3">
        <v>4</v>
      </c>
      <c r="S98" s="3">
        <v>1691.52</v>
      </c>
      <c r="T98">
        <v>387.15800000000002</v>
      </c>
      <c r="U98">
        <v>1579.4</v>
      </c>
      <c r="W98">
        <v>2574.69</v>
      </c>
      <c r="X98">
        <v>3217.23</v>
      </c>
      <c r="Z98">
        <v>3803.76</v>
      </c>
    </row>
    <row r="99" spans="1:26" x14ac:dyDescent="0.35">
      <c r="A99" s="3" t="s">
        <v>203</v>
      </c>
      <c r="B99" s="3">
        <v>1097</v>
      </c>
      <c r="C99">
        <v>9</v>
      </c>
      <c r="D99">
        <v>1</v>
      </c>
      <c r="E99">
        <v>2024</v>
      </c>
      <c r="F99" s="4">
        <f t="shared" si="1"/>
        <v>45300</v>
      </c>
      <c r="G99" s="3" t="s">
        <v>204</v>
      </c>
      <c r="H99" s="3">
        <v>28</v>
      </c>
      <c r="I99" s="3" t="s">
        <v>20</v>
      </c>
      <c r="J99" s="3" t="s">
        <v>27</v>
      </c>
      <c r="K99" s="3" t="s">
        <v>34</v>
      </c>
      <c r="L99" s="3" t="s">
        <v>125</v>
      </c>
      <c r="M99" s="3">
        <v>694.69</v>
      </c>
      <c r="N99" s="3">
        <v>1</v>
      </c>
      <c r="O99" s="3">
        <v>10</v>
      </c>
      <c r="P99" s="3" t="s">
        <v>653</v>
      </c>
      <c r="Q99" s="3">
        <v>4</v>
      </c>
      <c r="R99" s="3">
        <v>9</v>
      </c>
      <c r="S99" s="3">
        <v>625.221</v>
      </c>
      <c r="T99">
        <v>1954.568</v>
      </c>
      <c r="U99">
        <v>949.17600000000004</v>
      </c>
      <c r="W99">
        <v>1246.26</v>
      </c>
      <c r="X99">
        <v>1041.8489999999999</v>
      </c>
      <c r="Z99">
        <v>4374.92</v>
      </c>
    </row>
    <row r="100" spans="1:26" x14ac:dyDescent="0.35">
      <c r="A100" s="3" t="s">
        <v>205</v>
      </c>
      <c r="B100" s="3">
        <v>1098</v>
      </c>
      <c r="C100">
        <v>9</v>
      </c>
      <c r="D100">
        <v>12</v>
      </c>
      <c r="E100">
        <v>2024</v>
      </c>
      <c r="F100" s="4">
        <f t="shared" si="1"/>
        <v>45635</v>
      </c>
      <c r="G100" s="3" t="s">
        <v>100</v>
      </c>
      <c r="H100" s="3">
        <v>35</v>
      </c>
      <c r="I100" s="3" t="s">
        <v>20</v>
      </c>
      <c r="J100" s="3" t="s">
        <v>27</v>
      </c>
      <c r="K100" s="3" t="s">
        <v>22</v>
      </c>
      <c r="L100" s="3" t="s">
        <v>125</v>
      </c>
      <c r="M100" s="3">
        <v>630.59</v>
      </c>
      <c r="N100" s="3">
        <v>2</v>
      </c>
      <c r="O100" s="3">
        <v>20</v>
      </c>
      <c r="P100" s="3" t="s">
        <v>654</v>
      </c>
      <c r="Q100" s="3">
        <v>5</v>
      </c>
      <c r="R100" s="3">
        <v>6</v>
      </c>
      <c r="S100" s="3">
        <v>1008.944</v>
      </c>
      <c r="T100">
        <v>373.64400000000001</v>
      </c>
      <c r="U100">
        <v>2198.0700000000002</v>
      </c>
      <c r="W100">
        <v>301.16000000000003</v>
      </c>
      <c r="X100">
        <v>426.22399999999999</v>
      </c>
      <c r="Z100">
        <v>930.48</v>
      </c>
    </row>
    <row r="101" spans="1:26" x14ac:dyDescent="0.35">
      <c r="A101" s="3" t="s">
        <v>206</v>
      </c>
      <c r="B101" s="3">
        <v>1099</v>
      </c>
      <c r="C101">
        <v>8</v>
      </c>
      <c r="D101">
        <v>5</v>
      </c>
      <c r="E101">
        <v>2024</v>
      </c>
      <c r="F101" s="4">
        <f t="shared" si="1"/>
        <v>45420</v>
      </c>
      <c r="G101" s="3" t="s">
        <v>87</v>
      </c>
      <c r="H101" s="3">
        <v>29</v>
      </c>
      <c r="I101" s="3" t="s">
        <v>20</v>
      </c>
      <c r="J101" s="3" t="s">
        <v>33</v>
      </c>
      <c r="K101" s="3" t="s">
        <v>22</v>
      </c>
      <c r="L101" s="3" t="s">
        <v>35</v>
      </c>
      <c r="M101" s="3">
        <v>527.9</v>
      </c>
      <c r="N101" s="3">
        <v>3</v>
      </c>
      <c r="O101" s="3">
        <v>10</v>
      </c>
      <c r="P101" s="3" t="s">
        <v>653</v>
      </c>
      <c r="Q101" s="3">
        <v>5</v>
      </c>
      <c r="R101" s="3">
        <v>4</v>
      </c>
      <c r="S101" s="3">
        <v>1425.33</v>
      </c>
      <c r="T101">
        <v>275.06400000000002</v>
      </c>
      <c r="U101">
        <v>551.91999999999996</v>
      </c>
      <c r="W101">
        <v>768.80700000000002</v>
      </c>
      <c r="X101">
        <v>1530.99</v>
      </c>
      <c r="Z101">
        <v>2990.4479999999999</v>
      </c>
    </row>
    <row r="102" spans="1:26" x14ac:dyDescent="0.35">
      <c r="A102" s="3" t="s">
        <v>207</v>
      </c>
      <c r="B102" s="3">
        <v>1100</v>
      </c>
      <c r="C102">
        <v>15</v>
      </c>
      <c r="D102">
        <v>5</v>
      </c>
      <c r="E102">
        <v>2024</v>
      </c>
      <c r="F102" s="4">
        <f t="shared" si="1"/>
        <v>45427</v>
      </c>
      <c r="G102" s="3" t="s">
        <v>128</v>
      </c>
      <c r="H102" s="3">
        <v>26</v>
      </c>
      <c r="I102" s="3" t="s">
        <v>20</v>
      </c>
      <c r="J102" s="3" t="s">
        <v>46</v>
      </c>
      <c r="K102" s="3" t="s">
        <v>41</v>
      </c>
      <c r="L102" s="3" t="s">
        <v>96</v>
      </c>
      <c r="M102" s="3">
        <v>394</v>
      </c>
      <c r="N102" s="3">
        <v>4</v>
      </c>
      <c r="O102" s="3">
        <v>10</v>
      </c>
      <c r="P102" s="3" t="s">
        <v>654</v>
      </c>
      <c r="Q102" s="3">
        <v>2</v>
      </c>
      <c r="R102" s="3">
        <v>2</v>
      </c>
      <c r="S102" s="3">
        <v>1418.4</v>
      </c>
      <c r="T102">
        <v>4072.4639999999999</v>
      </c>
      <c r="U102">
        <v>1029.915</v>
      </c>
      <c r="W102">
        <v>281.91000000000003</v>
      </c>
      <c r="X102">
        <v>23.892499999999998</v>
      </c>
      <c r="Z102">
        <v>1527.7760000000001</v>
      </c>
    </row>
    <row r="103" spans="1:26" x14ac:dyDescent="0.35">
      <c r="A103" s="3" t="s">
        <v>208</v>
      </c>
      <c r="B103" s="3">
        <v>1101</v>
      </c>
      <c r="C103">
        <v>3</v>
      </c>
      <c r="D103">
        <v>3</v>
      </c>
      <c r="E103">
        <v>2024</v>
      </c>
      <c r="F103" s="4">
        <f t="shared" si="1"/>
        <v>45354</v>
      </c>
      <c r="G103" s="3" t="s">
        <v>172</v>
      </c>
      <c r="H103" s="3">
        <v>27</v>
      </c>
      <c r="I103" s="3" t="s">
        <v>32</v>
      </c>
      <c r="J103" s="3" t="s">
        <v>21</v>
      </c>
      <c r="K103" s="3" t="s">
        <v>47</v>
      </c>
      <c r="L103" s="3" t="s">
        <v>42</v>
      </c>
      <c r="M103" s="3">
        <v>532.82000000000005</v>
      </c>
      <c r="N103" s="3">
        <v>4</v>
      </c>
      <c r="O103" s="3">
        <v>15</v>
      </c>
      <c r="P103" s="3" t="s">
        <v>29</v>
      </c>
      <c r="Q103" s="3">
        <v>2</v>
      </c>
      <c r="R103" s="3">
        <v>6</v>
      </c>
      <c r="S103" s="3">
        <v>1811.588</v>
      </c>
      <c r="T103">
        <v>2426.7600000000002</v>
      </c>
      <c r="U103">
        <v>1924.18</v>
      </c>
      <c r="W103">
        <v>3637.5120000000002</v>
      </c>
      <c r="X103">
        <v>4175.7839999999997</v>
      </c>
      <c r="Z103">
        <v>2069.8200000000002</v>
      </c>
    </row>
    <row r="104" spans="1:26" x14ac:dyDescent="0.35">
      <c r="A104" s="3" t="s">
        <v>209</v>
      </c>
      <c r="B104" s="3">
        <v>1102</v>
      </c>
      <c r="C104">
        <v>18</v>
      </c>
      <c r="D104">
        <v>5</v>
      </c>
      <c r="E104">
        <v>2024</v>
      </c>
      <c r="F104" s="4">
        <f t="shared" si="1"/>
        <v>45430</v>
      </c>
      <c r="G104" s="3" t="s">
        <v>182</v>
      </c>
      <c r="H104" s="3">
        <v>34</v>
      </c>
      <c r="I104" s="3" t="s">
        <v>32</v>
      </c>
      <c r="J104" s="3" t="s">
        <v>51</v>
      </c>
      <c r="K104" s="3" t="s">
        <v>47</v>
      </c>
      <c r="L104" s="3" t="s">
        <v>55</v>
      </c>
      <c r="M104" s="3">
        <v>933.18</v>
      </c>
      <c r="N104" s="3">
        <v>1</v>
      </c>
      <c r="O104" s="3">
        <v>10</v>
      </c>
      <c r="P104" s="3" t="s">
        <v>29</v>
      </c>
      <c r="Q104" s="3">
        <v>1</v>
      </c>
      <c r="R104" s="3">
        <v>2</v>
      </c>
      <c r="S104" s="3">
        <v>839.86199999999997</v>
      </c>
      <c r="T104">
        <v>380.0095</v>
      </c>
      <c r="U104">
        <v>1057.1199999999999</v>
      </c>
      <c r="W104">
        <v>2146.248</v>
      </c>
      <c r="X104">
        <v>530.62</v>
      </c>
      <c r="Z104">
        <v>217</v>
      </c>
    </row>
    <row r="105" spans="1:26" x14ac:dyDescent="0.35">
      <c r="A105" s="3" t="s">
        <v>210</v>
      </c>
      <c r="B105" s="3">
        <v>1103</v>
      </c>
      <c r="C105">
        <v>21</v>
      </c>
      <c r="D105">
        <v>3</v>
      </c>
      <c r="E105">
        <v>2024</v>
      </c>
      <c r="F105" s="4">
        <f t="shared" si="1"/>
        <v>45372</v>
      </c>
      <c r="G105" s="3" t="s">
        <v>70</v>
      </c>
      <c r="H105" s="3">
        <v>55</v>
      </c>
      <c r="I105" s="3" t="s">
        <v>20</v>
      </c>
      <c r="J105" s="3" t="s">
        <v>21</v>
      </c>
      <c r="K105" s="3" t="s">
        <v>22</v>
      </c>
      <c r="L105" s="3" t="s">
        <v>35</v>
      </c>
      <c r="M105" s="3">
        <v>730.27</v>
      </c>
      <c r="N105" s="3">
        <v>1</v>
      </c>
      <c r="O105" s="3">
        <v>10</v>
      </c>
      <c r="P105" s="3" t="s">
        <v>654</v>
      </c>
      <c r="Q105" s="3">
        <v>4</v>
      </c>
      <c r="R105" s="3">
        <v>5</v>
      </c>
      <c r="S105" s="3">
        <v>657.24300000000005</v>
      </c>
      <c r="T105">
        <v>648.46799999999996</v>
      </c>
      <c r="U105">
        <v>1201.883</v>
      </c>
      <c r="W105">
        <v>864.60299999999995</v>
      </c>
      <c r="X105">
        <v>506.31200000000001</v>
      </c>
      <c r="Z105">
        <v>2067.3359999999998</v>
      </c>
    </row>
    <row r="106" spans="1:26" x14ac:dyDescent="0.35">
      <c r="A106" s="3" t="s">
        <v>211</v>
      </c>
      <c r="B106" s="3">
        <v>1104</v>
      </c>
      <c r="C106">
        <v>11</v>
      </c>
      <c r="D106">
        <v>6</v>
      </c>
      <c r="E106">
        <v>2024</v>
      </c>
      <c r="F106" s="4">
        <f t="shared" si="1"/>
        <v>45454</v>
      </c>
      <c r="G106" s="3" t="s">
        <v>31</v>
      </c>
      <c r="H106" s="3"/>
      <c r="I106" s="3" t="s">
        <v>20</v>
      </c>
      <c r="J106" s="3" t="s">
        <v>655</v>
      </c>
      <c r="K106" s="3" t="s">
        <v>38</v>
      </c>
      <c r="L106" s="3" t="s">
        <v>96</v>
      </c>
      <c r="M106" s="3">
        <v>1073.18</v>
      </c>
      <c r="N106" s="3">
        <v>1</v>
      </c>
      <c r="O106" s="3">
        <v>5</v>
      </c>
      <c r="P106" s="3" t="s">
        <v>24</v>
      </c>
      <c r="Q106" s="3"/>
      <c r="R106" s="3">
        <v>6</v>
      </c>
      <c r="S106" s="3">
        <v>1019.521</v>
      </c>
      <c r="T106">
        <v>2085.5920000000001</v>
      </c>
      <c r="U106">
        <v>1498.1759999999999</v>
      </c>
      <c r="W106">
        <v>806.55</v>
      </c>
      <c r="X106">
        <v>65.424000000000007</v>
      </c>
      <c r="Z106">
        <v>725.697</v>
      </c>
    </row>
    <row r="107" spans="1:26" x14ac:dyDescent="0.35">
      <c r="A107" s="3" t="s">
        <v>212</v>
      </c>
      <c r="B107" s="3">
        <v>1105</v>
      </c>
      <c r="C107">
        <v>15</v>
      </c>
      <c r="D107">
        <v>10</v>
      </c>
      <c r="E107">
        <v>2024</v>
      </c>
      <c r="F107" s="4">
        <f t="shared" si="1"/>
        <v>45580</v>
      </c>
      <c r="G107" s="3" t="s">
        <v>213</v>
      </c>
      <c r="H107" s="3">
        <v>30</v>
      </c>
      <c r="I107" s="3" t="s">
        <v>32</v>
      </c>
      <c r="J107" s="3" t="s">
        <v>27</v>
      </c>
      <c r="K107" s="3" t="s">
        <v>34</v>
      </c>
      <c r="L107" s="3" t="s">
        <v>28</v>
      </c>
      <c r="M107" s="3">
        <v>543.19000000000005</v>
      </c>
      <c r="N107" s="3">
        <v>3</v>
      </c>
      <c r="O107" s="3">
        <v>0</v>
      </c>
      <c r="P107" s="3" t="s">
        <v>653</v>
      </c>
      <c r="Q107" s="3">
        <v>5</v>
      </c>
      <c r="R107" s="3">
        <v>4</v>
      </c>
      <c r="S107" s="3">
        <v>1629.57</v>
      </c>
      <c r="T107">
        <v>2377.0880000000002</v>
      </c>
      <c r="U107">
        <v>412.11</v>
      </c>
      <c r="W107">
        <v>780.1</v>
      </c>
      <c r="Z107">
        <v>2937.6640000000002</v>
      </c>
    </row>
    <row r="108" spans="1:26" x14ac:dyDescent="0.35">
      <c r="A108" s="3" t="s">
        <v>214</v>
      </c>
      <c r="B108" s="3">
        <v>1106</v>
      </c>
      <c r="C108">
        <v>17</v>
      </c>
      <c r="D108">
        <v>9</v>
      </c>
      <c r="E108">
        <v>2024</v>
      </c>
      <c r="F108" s="4">
        <f t="shared" si="1"/>
        <v>45552</v>
      </c>
      <c r="G108" s="3" t="s">
        <v>186</v>
      </c>
      <c r="H108" s="3">
        <v>57</v>
      </c>
      <c r="I108" s="3" t="s">
        <v>20</v>
      </c>
      <c r="J108" s="3" t="s">
        <v>27</v>
      </c>
      <c r="K108" s="3" t="s">
        <v>38</v>
      </c>
      <c r="L108" s="3" t="s">
        <v>79</v>
      </c>
      <c r="M108" s="3">
        <v>736.37</v>
      </c>
      <c r="N108" s="3">
        <v>2</v>
      </c>
      <c r="O108" s="3">
        <v>15</v>
      </c>
      <c r="P108" s="3" t="s">
        <v>653</v>
      </c>
      <c r="Q108" s="3">
        <v>1</v>
      </c>
      <c r="R108" s="3">
        <v>3</v>
      </c>
      <c r="S108" s="3">
        <v>1251.829</v>
      </c>
      <c r="T108">
        <v>146.03399999999999</v>
      </c>
      <c r="U108">
        <v>448.81700000000001</v>
      </c>
      <c r="W108">
        <v>976.66700000000003</v>
      </c>
      <c r="Z108">
        <v>3425.73</v>
      </c>
    </row>
    <row r="109" spans="1:26" x14ac:dyDescent="0.35">
      <c r="A109" s="3" t="s">
        <v>215</v>
      </c>
      <c r="B109" s="3">
        <v>1107</v>
      </c>
      <c r="C109">
        <v>18</v>
      </c>
      <c r="D109">
        <v>8</v>
      </c>
      <c r="E109">
        <v>2024</v>
      </c>
      <c r="F109" s="4">
        <f t="shared" si="1"/>
        <v>45522</v>
      </c>
      <c r="G109" s="3" t="s">
        <v>216</v>
      </c>
      <c r="H109" s="3">
        <v>59</v>
      </c>
      <c r="I109" s="3" t="s">
        <v>20</v>
      </c>
      <c r="J109" s="3" t="s">
        <v>46</v>
      </c>
      <c r="K109" s="3" t="s">
        <v>38</v>
      </c>
      <c r="L109" s="3" t="s">
        <v>79</v>
      </c>
      <c r="M109" s="3">
        <v>764.94</v>
      </c>
      <c r="N109" s="3">
        <v>3</v>
      </c>
      <c r="O109" s="3">
        <v>15</v>
      </c>
      <c r="P109" s="3" t="s">
        <v>653</v>
      </c>
      <c r="Q109" s="3"/>
      <c r="R109" s="3">
        <v>7</v>
      </c>
      <c r="S109" s="3">
        <v>1950.597</v>
      </c>
      <c r="T109">
        <v>295.2</v>
      </c>
      <c r="U109">
        <v>564.78</v>
      </c>
      <c r="W109">
        <v>1792.288</v>
      </c>
      <c r="Z109">
        <v>378.13099999999997</v>
      </c>
    </row>
    <row r="110" spans="1:26" x14ac:dyDescent="0.35">
      <c r="A110" s="3" t="s">
        <v>217</v>
      </c>
      <c r="B110" s="3">
        <v>1108</v>
      </c>
      <c r="C110">
        <v>10</v>
      </c>
      <c r="D110">
        <v>2</v>
      </c>
      <c r="E110">
        <v>2024</v>
      </c>
      <c r="F110" s="4">
        <f t="shared" si="1"/>
        <v>45332</v>
      </c>
      <c r="G110" s="3" t="s">
        <v>85</v>
      </c>
      <c r="H110" s="3">
        <v>26</v>
      </c>
      <c r="I110" s="3" t="s">
        <v>32</v>
      </c>
      <c r="J110" s="3" t="s">
        <v>27</v>
      </c>
      <c r="K110" s="3" t="s">
        <v>22</v>
      </c>
      <c r="L110" s="3" t="s">
        <v>42</v>
      </c>
      <c r="M110" s="3">
        <v>718.2</v>
      </c>
      <c r="N110" s="3">
        <v>4</v>
      </c>
      <c r="O110" s="3">
        <v>15</v>
      </c>
      <c r="P110" s="3" t="s">
        <v>654</v>
      </c>
      <c r="Q110" s="3">
        <v>4</v>
      </c>
      <c r="R110" s="3">
        <v>2</v>
      </c>
      <c r="S110" s="3">
        <v>2441.88</v>
      </c>
      <c r="T110">
        <v>650.08000000000004</v>
      </c>
      <c r="U110">
        <v>742.9665</v>
      </c>
      <c r="W110">
        <v>864.63300000000004</v>
      </c>
      <c r="Z110">
        <v>610.47</v>
      </c>
    </row>
    <row r="111" spans="1:26" x14ac:dyDescent="0.35">
      <c r="A111" s="3" t="s">
        <v>218</v>
      </c>
      <c r="B111" s="3">
        <v>1109</v>
      </c>
      <c r="C111">
        <v>28</v>
      </c>
      <c r="D111">
        <v>1</v>
      </c>
      <c r="E111">
        <v>2024</v>
      </c>
      <c r="F111" s="4">
        <f t="shared" si="1"/>
        <v>45319</v>
      </c>
      <c r="G111" s="3" t="s">
        <v>219</v>
      </c>
      <c r="H111" s="3">
        <v>44</v>
      </c>
      <c r="I111" s="3" t="s">
        <v>20</v>
      </c>
      <c r="J111" s="3" t="s">
        <v>27</v>
      </c>
      <c r="K111" s="3" t="s">
        <v>22</v>
      </c>
      <c r="L111" s="3" t="s">
        <v>48</v>
      </c>
      <c r="M111" s="3">
        <v>849.11</v>
      </c>
      <c r="N111" s="3">
        <v>1</v>
      </c>
      <c r="O111" s="3">
        <v>5</v>
      </c>
      <c r="P111" s="3" t="s">
        <v>29</v>
      </c>
      <c r="Q111" s="3">
        <v>1</v>
      </c>
      <c r="R111" s="3">
        <v>6</v>
      </c>
      <c r="S111" s="3">
        <v>806.65449999999998</v>
      </c>
      <c r="T111">
        <v>375.44</v>
      </c>
      <c r="U111">
        <v>2777.5439999999999</v>
      </c>
      <c r="W111">
        <v>365.10399999999998</v>
      </c>
      <c r="Z111">
        <v>2673.4589999999998</v>
      </c>
    </row>
    <row r="112" spans="1:26" x14ac:dyDescent="0.35">
      <c r="A112" s="3" t="s">
        <v>220</v>
      </c>
      <c r="B112" s="3">
        <v>1110</v>
      </c>
      <c r="C112">
        <v>14</v>
      </c>
      <c r="D112">
        <v>5</v>
      </c>
      <c r="E112">
        <v>2024</v>
      </c>
      <c r="F112" s="4">
        <f t="shared" si="1"/>
        <v>45426</v>
      </c>
      <c r="G112" s="3" t="s">
        <v>102</v>
      </c>
      <c r="H112" s="3">
        <v>19</v>
      </c>
      <c r="I112" s="3" t="s">
        <v>20</v>
      </c>
      <c r="J112" s="3" t="s">
        <v>27</v>
      </c>
      <c r="K112" s="3" t="s">
        <v>22</v>
      </c>
      <c r="L112" s="3" t="s">
        <v>64</v>
      </c>
      <c r="M112" s="3">
        <v>300.17</v>
      </c>
      <c r="N112" s="3">
        <v>2</v>
      </c>
      <c r="O112" s="3">
        <v>10</v>
      </c>
      <c r="P112" s="3" t="s">
        <v>653</v>
      </c>
      <c r="Q112" s="3">
        <v>1</v>
      </c>
      <c r="R112" s="3">
        <v>4</v>
      </c>
      <c r="S112" s="3">
        <v>540.30600000000004</v>
      </c>
      <c r="T112">
        <v>60.857999999999997</v>
      </c>
      <c r="U112">
        <v>1603.258</v>
      </c>
      <c r="W112">
        <v>2916.7184999999999</v>
      </c>
    </row>
    <row r="113" spans="1:21" x14ac:dyDescent="0.35">
      <c r="A113" s="3" t="s">
        <v>221</v>
      </c>
      <c r="B113" s="3">
        <v>1111</v>
      </c>
      <c r="C113">
        <v>19</v>
      </c>
      <c r="D113">
        <v>7</v>
      </c>
      <c r="E113">
        <v>2024</v>
      </c>
      <c r="F113" s="4">
        <f t="shared" si="1"/>
        <v>45492</v>
      </c>
      <c r="G113" s="3" t="s">
        <v>150</v>
      </c>
      <c r="H113" s="3">
        <v>22</v>
      </c>
      <c r="I113" s="3" t="s">
        <v>20</v>
      </c>
      <c r="J113" s="3" t="s">
        <v>51</v>
      </c>
      <c r="K113" s="3" t="s">
        <v>22</v>
      </c>
      <c r="L113" s="3" t="s">
        <v>35</v>
      </c>
      <c r="M113" s="3">
        <v>624.59</v>
      </c>
      <c r="N113" s="3">
        <v>4</v>
      </c>
      <c r="O113" s="3">
        <v>0</v>
      </c>
      <c r="P113" s="3" t="s">
        <v>29</v>
      </c>
      <c r="Q113" s="3">
        <v>5</v>
      </c>
      <c r="R113" s="3">
        <v>6</v>
      </c>
      <c r="S113" s="3">
        <v>2498.36</v>
      </c>
      <c r="T113">
        <v>880.6</v>
      </c>
      <c r="U113">
        <v>1283.568</v>
      </c>
    </row>
    <row r="114" spans="1:21" x14ac:dyDescent="0.35">
      <c r="A114" s="3" t="s">
        <v>222</v>
      </c>
      <c r="B114" s="3">
        <v>1112</v>
      </c>
      <c r="C114">
        <v>23</v>
      </c>
      <c r="D114">
        <v>11</v>
      </c>
      <c r="E114">
        <v>2024</v>
      </c>
      <c r="F114" s="4">
        <f t="shared" si="1"/>
        <v>45619</v>
      </c>
      <c r="G114" s="3" t="s">
        <v>57</v>
      </c>
      <c r="H114" s="3">
        <v>46</v>
      </c>
      <c r="I114" s="3" t="s">
        <v>32</v>
      </c>
      <c r="J114" s="3" t="s">
        <v>51</v>
      </c>
      <c r="K114" s="3" t="s">
        <v>47</v>
      </c>
      <c r="L114" s="3" t="s">
        <v>35</v>
      </c>
      <c r="M114" s="3">
        <v>142.99</v>
      </c>
      <c r="N114" s="3">
        <v>4</v>
      </c>
      <c r="O114" s="3">
        <v>20</v>
      </c>
      <c r="P114" s="3" t="s">
        <v>653</v>
      </c>
      <c r="Q114" s="3">
        <v>1</v>
      </c>
      <c r="R114" s="3">
        <v>4</v>
      </c>
      <c r="S114" s="3">
        <v>457.56799999999998</v>
      </c>
      <c r="T114">
        <v>561.476</v>
      </c>
      <c r="U114">
        <v>655.20000000000005</v>
      </c>
    </row>
    <row r="115" spans="1:21" x14ac:dyDescent="0.35">
      <c r="A115" s="3" t="s">
        <v>223</v>
      </c>
      <c r="B115" s="3">
        <v>1113</v>
      </c>
      <c r="C115">
        <v>24</v>
      </c>
      <c r="D115">
        <v>9</v>
      </c>
      <c r="E115">
        <v>2024</v>
      </c>
      <c r="F115" s="4">
        <f t="shared" si="1"/>
        <v>45559</v>
      </c>
      <c r="G115" s="3" t="s">
        <v>178</v>
      </c>
      <c r="H115" s="3">
        <v>54</v>
      </c>
      <c r="I115" s="3" t="s">
        <v>32</v>
      </c>
      <c r="J115" s="3" t="s">
        <v>33</v>
      </c>
      <c r="K115" s="3" t="s">
        <v>22</v>
      </c>
      <c r="L115" s="3" t="s">
        <v>55</v>
      </c>
      <c r="M115" s="3">
        <v>473.72</v>
      </c>
      <c r="N115" s="3">
        <v>4</v>
      </c>
      <c r="O115" s="3">
        <v>10</v>
      </c>
      <c r="P115" s="3" t="s">
        <v>653</v>
      </c>
      <c r="Q115" s="3">
        <v>2</v>
      </c>
      <c r="R115" s="3">
        <v>4</v>
      </c>
      <c r="S115" s="3">
        <v>1705.3920000000001</v>
      </c>
      <c r="T115">
        <v>679.2</v>
      </c>
      <c r="U115">
        <v>706.63049999999998</v>
      </c>
    </row>
    <row r="116" spans="1:21" x14ac:dyDescent="0.35">
      <c r="A116" s="3" t="s">
        <v>224</v>
      </c>
      <c r="B116" s="3">
        <v>1114</v>
      </c>
      <c r="C116">
        <v>2</v>
      </c>
      <c r="D116">
        <v>2</v>
      </c>
      <c r="E116">
        <v>2024</v>
      </c>
      <c r="F116" s="4">
        <f t="shared" si="1"/>
        <v>45324</v>
      </c>
      <c r="G116" s="3" t="s">
        <v>225</v>
      </c>
      <c r="H116" s="3">
        <v>55</v>
      </c>
      <c r="I116" s="3" t="s">
        <v>32</v>
      </c>
      <c r="J116" s="3" t="s">
        <v>21</v>
      </c>
      <c r="K116" s="3" t="s">
        <v>47</v>
      </c>
      <c r="L116" s="3" t="s">
        <v>55</v>
      </c>
      <c r="M116" s="3">
        <v>595.45000000000005</v>
      </c>
      <c r="N116" s="3">
        <v>3</v>
      </c>
      <c r="O116" s="3">
        <v>5</v>
      </c>
      <c r="P116" s="3" t="s">
        <v>654</v>
      </c>
      <c r="Q116" s="3">
        <v>2</v>
      </c>
      <c r="R116" s="3">
        <v>4</v>
      </c>
      <c r="S116" s="3">
        <v>1697.0325</v>
      </c>
      <c r="T116">
        <v>1147.338</v>
      </c>
      <c r="U116">
        <v>948.70399999999995</v>
      </c>
    </row>
    <row r="117" spans="1:21" x14ac:dyDescent="0.35">
      <c r="A117" s="3" t="s">
        <v>226</v>
      </c>
      <c r="B117" s="3">
        <v>1115</v>
      </c>
      <c r="C117">
        <v>17</v>
      </c>
      <c r="D117">
        <v>2</v>
      </c>
      <c r="E117">
        <v>2024</v>
      </c>
      <c r="F117" s="4">
        <f t="shared" si="1"/>
        <v>45339</v>
      </c>
      <c r="G117" s="3" t="s">
        <v>164</v>
      </c>
      <c r="H117" s="3">
        <v>36</v>
      </c>
      <c r="I117" s="3" t="s">
        <v>20</v>
      </c>
      <c r="J117" s="3" t="s">
        <v>46</v>
      </c>
      <c r="K117" s="3" t="s">
        <v>47</v>
      </c>
      <c r="L117" s="3" t="s">
        <v>79</v>
      </c>
      <c r="M117" s="3">
        <v>789.62</v>
      </c>
      <c r="N117" s="3">
        <v>1</v>
      </c>
      <c r="O117" s="3">
        <v>10</v>
      </c>
      <c r="P117" s="3" t="s">
        <v>24</v>
      </c>
      <c r="Q117" s="3">
        <v>3</v>
      </c>
      <c r="R117" s="3">
        <v>9</v>
      </c>
      <c r="S117" s="3">
        <v>710.65800000000002</v>
      </c>
      <c r="T117">
        <v>3345.596</v>
      </c>
      <c r="U117">
        <v>1000.296</v>
      </c>
    </row>
    <row r="118" spans="1:21" x14ac:dyDescent="0.35">
      <c r="A118" s="3" t="s">
        <v>227</v>
      </c>
      <c r="B118" s="3">
        <v>1116</v>
      </c>
      <c r="C118">
        <v>2</v>
      </c>
      <c r="D118">
        <v>3</v>
      </c>
      <c r="E118">
        <v>2024</v>
      </c>
      <c r="F118" s="4">
        <f t="shared" si="1"/>
        <v>45353</v>
      </c>
      <c r="G118" s="3" t="s">
        <v>72</v>
      </c>
      <c r="H118" s="3">
        <v>25</v>
      </c>
      <c r="I118" s="3" t="s">
        <v>20</v>
      </c>
      <c r="J118" s="3" t="s">
        <v>46</v>
      </c>
      <c r="K118" s="3" t="s">
        <v>22</v>
      </c>
      <c r="L118" s="3" t="s">
        <v>79</v>
      </c>
      <c r="M118" s="3">
        <v>1141.6300000000001</v>
      </c>
      <c r="N118" s="3">
        <v>4</v>
      </c>
      <c r="O118" s="3">
        <v>10</v>
      </c>
      <c r="P118" s="3" t="s">
        <v>654</v>
      </c>
      <c r="Q118" s="3">
        <v>5</v>
      </c>
      <c r="R118" s="3">
        <v>7</v>
      </c>
      <c r="S118" s="3">
        <v>4109.8680000000004</v>
      </c>
      <c r="T118">
        <v>966.91949999999997</v>
      </c>
      <c r="U118">
        <v>2496.48</v>
      </c>
    </row>
    <row r="119" spans="1:21" x14ac:dyDescent="0.35">
      <c r="A119" s="3" t="s">
        <v>228</v>
      </c>
      <c r="B119" s="3">
        <v>1117</v>
      </c>
      <c r="C119">
        <v>3</v>
      </c>
      <c r="D119">
        <v>8</v>
      </c>
      <c r="E119">
        <v>2024</v>
      </c>
      <c r="F119" s="4">
        <f t="shared" si="1"/>
        <v>45507</v>
      </c>
      <c r="G119" s="3" t="s">
        <v>229</v>
      </c>
      <c r="H119" s="3">
        <v>18</v>
      </c>
      <c r="I119" s="3" t="s">
        <v>32</v>
      </c>
      <c r="J119" s="3" t="s">
        <v>46</v>
      </c>
      <c r="K119" s="3" t="s">
        <v>41</v>
      </c>
      <c r="L119" s="3" t="s">
        <v>23</v>
      </c>
      <c r="M119" s="3">
        <v>728.77</v>
      </c>
      <c r="N119" s="3">
        <v>1</v>
      </c>
      <c r="O119" s="3">
        <v>5</v>
      </c>
      <c r="P119" s="3" t="s">
        <v>653</v>
      </c>
      <c r="Q119" s="3"/>
      <c r="R119" s="3">
        <v>3</v>
      </c>
      <c r="S119" s="3">
        <v>692.33150000000001</v>
      </c>
      <c r="T119">
        <v>1339.424</v>
      </c>
      <c r="U119">
        <v>2253.4</v>
      </c>
    </row>
    <row r="120" spans="1:21" x14ac:dyDescent="0.35">
      <c r="A120" s="3" t="s">
        <v>230</v>
      </c>
      <c r="B120" s="3">
        <v>1118</v>
      </c>
      <c r="C120">
        <v>19</v>
      </c>
      <c r="D120">
        <v>10</v>
      </c>
      <c r="E120">
        <v>2024</v>
      </c>
      <c r="F120" s="4">
        <f t="shared" si="1"/>
        <v>45584</v>
      </c>
      <c r="G120" s="3" t="s">
        <v>93</v>
      </c>
      <c r="H120" s="3">
        <v>39</v>
      </c>
      <c r="I120" s="3" t="s">
        <v>20</v>
      </c>
      <c r="J120" s="3" t="s">
        <v>33</v>
      </c>
      <c r="K120" s="3" t="s">
        <v>34</v>
      </c>
      <c r="L120" s="3" t="s">
        <v>23</v>
      </c>
      <c r="M120" s="3">
        <v>897.44</v>
      </c>
      <c r="N120" s="3">
        <v>3</v>
      </c>
      <c r="O120" s="3">
        <v>15</v>
      </c>
      <c r="P120" s="3" t="s">
        <v>653</v>
      </c>
      <c r="Q120" s="3">
        <v>3</v>
      </c>
      <c r="R120" s="3">
        <v>3</v>
      </c>
      <c r="S120" s="3">
        <v>2288.4720000000002</v>
      </c>
      <c r="T120">
        <v>3233.4</v>
      </c>
      <c r="U120">
        <v>188.964</v>
      </c>
    </row>
    <row r="121" spans="1:21" x14ac:dyDescent="0.35">
      <c r="A121" s="3" t="s">
        <v>231</v>
      </c>
      <c r="B121" s="3">
        <v>1119</v>
      </c>
      <c r="C121">
        <v>8</v>
      </c>
      <c r="D121">
        <v>4</v>
      </c>
      <c r="E121">
        <v>2024</v>
      </c>
      <c r="F121" s="4">
        <f t="shared" si="1"/>
        <v>45390</v>
      </c>
      <c r="G121" s="3" t="s">
        <v>111</v>
      </c>
      <c r="H121" s="3">
        <v>34</v>
      </c>
      <c r="I121" s="3" t="s">
        <v>20</v>
      </c>
      <c r="J121" s="3" t="s">
        <v>51</v>
      </c>
      <c r="K121" s="3" t="s">
        <v>38</v>
      </c>
      <c r="L121" s="3" t="s">
        <v>48</v>
      </c>
      <c r="M121" s="3">
        <v>617.39</v>
      </c>
      <c r="N121" s="3">
        <v>4</v>
      </c>
      <c r="O121" s="3">
        <v>15</v>
      </c>
      <c r="P121" s="3" t="s">
        <v>24</v>
      </c>
      <c r="Q121" s="3">
        <v>2</v>
      </c>
      <c r="R121" s="3">
        <v>6</v>
      </c>
      <c r="S121" s="3">
        <v>2099.1260000000002</v>
      </c>
      <c r="T121">
        <v>519.44100000000003</v>
      </c>
      <c r="U121">
        <v>1047.9480000000001</v>
      </c>
    </row>
    <row r="122" spans="1:21" x14ac:dyDescent="0.35">
      <c r="A122" s="3" t="s">
        <v>232</v>
      </c>
      <c r="B122" s="3">
        <v>1120</v>
      </c>
      <c r="C122">
        <v>20</v>
      </c>
      <c r="D122">
        <v>6</v>
      </c>
      <c r="E122">
        <v>2024</v>
      </c>
      <c r="F122" s="4">
        <f t="shared" si="1"/>
        <v>45463</v>
      </c>
      <c r="G122" s="3" t="s">
        <v>233</v>
      </c>
      <c r="H122" s="3">
        <v>24</v>
      </c>
      <c r="I122" s="3" t="s">
        <v>20</v>
      </c>
      <c r="J122" s="3" t="s">
        <v>33</v>
      </c>
      <c r="K122" s="3" t="s">
        <v>47</v>
      </c>
      <c r="L122" s="3" t="s">
        <v>23</v>
      </c>
      <c r="M122" s="3">
        <v>768.24</v>
      </c>
      <c r="N122" s="3">
        <v>3</v>
      </c>
      <c r="O122" s="3">
        <v>0</v>
      </c>
      <c r="P122" s="3" t="s">
        <v>29</v>
      </c>
      <c r="Q122" s="3">
        <v>3</v>
      </c>
      <c r="R122" s="3">
        <v>6</v>
      </c>
      <c r="S122" s="3">
        <v>2304.7199999999998</v>
      </c>
      <c r="T122">
        <v>792.36800000000005</v>
      </c>
      <c r="U122">
        <v>264.08</v>
      </c>
    </row>
    <row r="123" spans="1:21" x14ac:dyDescent="0.35">
      <c r="A123" s="3" t="s">
        <v>234</v>
      </c>
      <c r="B123" s="3">
        <v>1121</v>
      </c>
      <c r="C123">
        <v>25</v>
      </c>
      <c r="D123">
        <v>12</v>
      </c>
      <c r="E123">
        <v>2024</v>
      </c>
      <c r="F123" s="4">
        <f t="shared" si="1"/>
        <v>45651</v>
      </c>
      <c r="G123" s="3" t="s">
        <v>76</v>
      </c>
      <c r="H123" s="3">
        <v>42</v>
      </c>
      <c r="I123" s="3" t="s">
        <v>20</v>
      </c>
      <c r="J123" s="3" t="s">
        <v>46</v>
      </c>
      <c r="K123" s="3" t="s">
        <v>34</v>
      </c>
      <c r="L123" s="3" t="s">
        <v>64</v>
      </c>
      <c r="M123" s="3">
        <v>103.7</v>
      </c>
      <c r="N123" s="3">
        <v>3</v>
      </c>
      <c r="O123" s="3">
        <v>0</v>
      </c>
      <c r="P123" s="3" t="s">
        <v>29</v>
      </c>
      <c r="Q123" s="3">
        <v>5</v>
      </c>
      <c r="R123" s="3">
        <v>4</v>
      </c>
      <c r="S123" s="3">
        <v>311.10000000000002</v>
      </c>
      <c r="T123">
        <v>1754.2639999999999</v>
      </c>
      <c r="U123">
        <v>1815.7159999999999</v>
      </c>
    </row>
    <row r="124" spans="1:21" x14ac:dyDescent="0.35">
      <c r="A124" s="3" t="s">
        <v>235</v>
      </c>
      <c r="B124" s="3">
        <v>1122</v>
      </c>
      <c r="C124">
        <v>1</v>
      </c>
      <c r="D124">
        <v>8</v>
      </c>
      <c r="E124">
        <v>2024</v>
      </c>
      <c r="F124" s="4">
        <f t="shared" si="1"/>
        <v>45505</v>
      </c>
      <c r="G124" s="3" t="s">
        <v>148</v>
      </c>
      <c r="H124" s="3">
        <v>21</v>
      </c>
      <c r="I124" s="3" t="s">
        <v>20</v>
      </c>
      <c r="J124" s="3" t="s">
        <v>21</v>
      </c>
      <c r="K124" s="3" t="s">
        <v>41</v>
      </c>
      <c r="L124" s="3" t="s">
        <v>64</v>
      </c>
      <c r="M124" s="3">
        <v>320.18</v>
      </c>
      <c r="N124" s="3">
        <v>1</v>
      </c>
      <c r="O124" s="3">
        <v>15</v>
      </c>
      <c r="P124" s="3" t="s">
        <v>653</v>
      </c>
      <c r="Q124" s="3">
        <v>5</v>
      </c>
      <c r="R124" s="3">
        <v>9</v>
      </c>
      <c r="S124" s="3">
        <v>272.15300000000002</v>
      </c>
      <c r="T124">
        <v>1101.6300000000001</v>
      </c>
      <c r="U124">
        <v>578.096</v>
      </c>
    </row>
    <row r="125" spans="1:21" x14ac:dyDescent="0.35">
      <c r="A125" s="3" t="s">
        <v>236</v>
      </c>
      <c r="B125" s="3">
        <v>1123</v>
      </c>
      <c r="C125">
        <v>4</v>
      </c>
      <c r="D125">
        <v>2</v>
      </c>
      <c r="E125">
        <v>2024</v>
      </c>
      <c r="F125" s="4">
        <f t="shared" si="1"/>
        <v>45326</v>
      </c>
      <c r="G125" s="3" t="s">
        <v>237</v>
      </c>
      <c r="H125" s="3">
        <v>53</v>
      </c>
      <c r="I125" s="3" t="s">
        <v>32</v>
      </c>
      <c r="J125" s="3" t="s">
        <v>27</v>
      </c>
      <c r="K125" s="3" t="s">
        <v>38</v>
      </c>
      <c r="L125" s="3" t="s">
        <v>35</v>
      </c>
      <c r="M125" s="3">
        <v>446.99</v>
      </c>
      <c r="N125" s="3">
        <v>4</v>
      </c>
      <c r="O125" s="3">
        <v>20</v>
      </c>
      <c r="P125" s="3" t="s">
        <v>29</v>
      </c>
      <c r="Q125" s="3">
        <v>1</v>
      </c>
      <c r="R125" s="3">
        <v>4</v>
      </c>
      <c r="S125" s="3">
        <v>1430.3679999999999</v>
      </c>
      <c r="T125">
        <v>634.01599999999996</v>
      </c>
      <c r="U125">
        <v>1839.57</v>
      </c>
    </row>
    <row r="126" spans="1:21" x14ac:dyDescent="0.35">
      <c r="A126" s="3" t="s">
        <v>238</v>
      </c>
      <c r="B126" s="3">
        <v>1124</v>
      </c>
      <c r="C126">
        <v>14</v>
      </c>
      <c r="D126">
        <v>8</v>
      </c>
      <c r="E126">
        <v>2024</v>
      </c>
      <c r="F126" s="4">
        <f t="shared" si="1"/>
        <v>45518</v>
      </c>
      <c r="G126" s="3" t="s">
        <v>233</v>
      </c>
      <c r="H126" s="3"/>
      <c r="I126" s="3" t="s">
        <v>20</v>
      </c>
      <c r="J126" s="3" t="s">
        <v>655</v>
      </c>
      <c r="K126" s="3" t="s">
        <v>38</v>
      </c>
      <c r="L126" s="3" t="s">
        <v>125</v>
      </c>
      <c r="M126" s="3">
        <v>577.54</v>
      </c>
      <c r="N126" s="3">
        <v>3</v>
      </c>
      <c r="O126" s="3">
        <v>10</v>
      </c>
      <c r="P126" s="3" t="s">
        <v>653</v>
      </c>
      <c r="Q126" s="3"/>
      <c r="R126" s="3">
        <v>9</v>
      </c>
      <c r="S126" s="3">
        <v>1559.3579999999999</v>
      </c>
      <c r="T126">
        <v>915.96</v>
      </c>
      <c r="U126">
        <v>157.04</v>
      </c>
    </row>
    <row r="127" spans="1:21" x14ac:dyDescent="0.35">
      <c r="A127" s="3" t="s">
        <v>239</v>
      </c>
      <c r="B127" s="3">
        <v>1125</v>
      </c>
      <c r="C127">
        <v>10</v>
      </c>
      <c r="D127">
        <v>4</v>
      </c>
      <c r="E127">
        <v>2024</v>
      </c>
      <c r="F127" s="4">
        <f t="shared" si="1"/>
        <v>45392</v>
      </c>
      <c r="G127" s="3" t="s">
        <v>85</v>
      </c>
      <c r="H127" s="3">
        <v>48</v>
      </c>
      <c r="I127" s="3" t="s">
        <v>32</v>
      </c>
      <c r="J127" s="3" t="s">
        <v>51</v>
      </c>
      <c r="K127" s="3" t="s">
        <v>47</v>
      </c>
      <c r="L127" s="3" t="s">
        <v>64</v>
      </c>
      <c r="M127" s="3">
        <v>73.87</v>
      </c>
      <c r="N127" s="3">
        <v>4</v>
      </c>
      <c r="O127" s="3">
        <v>20</v>
      </c>
      <c r="P127" s="3" t="s">
        <v>24</v>
      </c>
      <c r="Q127" s="3">
        <v>1</v>
      </c>
      <c r="R127" s="3">
        <v>4</v>
      </c>
      <c r="S127" s="3">
        <v>236.38399999999999</v>
      </c>
      <c r="T127">
        <v>1458.54</v>
      </c>
      <c r="U127">
        <v>937.15200000000004</v>
      </c>
    </row>
    <row r="128" spans="1:21" x14ac:dyDescent="0.35">
      <c r="A128" s="3" t="s">
        <v>240</v>
      </c>
      <c r="B128" s="3">
        <v>1126</v>
      </c>
      <c r="C128">
        <v>10</v>
      </c>
      <c r="D128">
        <v>5</v>
      </c>
      <c r="E128">
        <v>2024</v>
      </c>
      <c r="F128" s="4">
        <f t="shared" si="1"/>
        <v>45422</v>
      </c>
      <c r="G128" s="3" t="s">
        <v>241</v>
      </c>
      <c r="H128" s="3">
        <v>36</v>
      </c>
      <c r="I128" s="3" t="s">
        <v>20</v>
      </c>
      <c r="J128" s="3" t="s">
        <v>33</v>
      </c>
      <c r="K128" s="3" t="s">
        <v>22</v>
      </c>
      <c r="L128" s="3" t="s">
        <v>96</v>
      </c>
      <c r="M128" s="3">
        <v>185.23</v>
      </c>
      <c r="N128" s="3">
        <v>1</v>
      </c>
      <c r="O128" s="3">
        <v>10</v>
      </c>
      <c r="P128" s="3" t="s">
        <v>24</v>
      </c>
      <c r="Q128" s="3">
        <v>5</v>
      </c>
      <c r="R128" s="3">
        <v>2</v>
      </c>
      <c r="S128" s="3">
        <v>166.70699999999999</v>
      </c>
      <c r="T128">
        <v>1449.403</v>
      </c>
      <c r="U128">
        <v>961.48800000000006</v>
      </c>
    </row>
    <row r="129" spans="1:21" x14ac:dyDescent="0.35">
      <c r="A129" s="3" t="s">
        <v>242</v>
      </c>
      <c r="B129" s="3">
        <v>1127</v>
      </c>
      <c r="C129">
        <v>13</v>
      </c>
      <c r="D129">
        <v>9</v>
      </c>
      <c r="E129">
        <v>2024</v>
      </c>
      <c r="F129" s="4">
        <f t="shared" si="1"/>
        <v>45548</v>
      </c>
      <c r="G129" s="3" t="s">
        <v>57</v>
      </c>
      <c r="H129" s="3">
        <v>56</v>
      </c>
      <c r="I129" s="3" t="s">
        <v>32</v>
      </c>
      <c r="J129" s="3" t="s">
        <v>51</v>
      </c>
      <c r="K129" s="3" t="s">
        <v>41</v>
      </c>
      <c r="L129" s="3" t="s">
        <v>79</v>
      </c>
      <c r="M129" s="3">
        <v>346.64</v>
      </c>
      <c r="N129" s="3">
        <v>3</v>
      </c>
      <c r="O129" s="3">
        <v>15</v>
      </c>
      <c r="P129" s="3" t="s">
        <v>653</v>
      </c>
      <c r="Q129" s="3">
        <v>2</v>
      </c>
      <c r="R129" s="3">
        <v>2</v>
      </c>
      <c r="S129" s="3">
        <v>883.93200000000002</v>
      </c>
      <c r="T129">
        <v>923.94</v>
      </c>
      <c r="U129">
        <v>694.89649999999995</v>
      </c>
    </row>
    <row r="130" spans="1:21" x14ac:dyDescent="0.35">
      <c r="A130" s="3" t="s">
        <v>243</v>
      </c>
      <c r="B130" s="3">
        <v>1128</v>
      </c>
      <c r="C130">
        <v>5</v>
      </c>
      <c r="D130">
        <v>1</v>
      </c>
      <c r="E130">
        <v>2024</v>
      </c>
      <c r="F130" s="4">
        <f t="shared" si="1"/>
        <v>45296</v>
      </c>
      <c r="G130" s="3" t="s">
        <v>174</v>
      </c>
      <c r="H130" s="3">
        <v>44</v>
      </c>
      <c r="I130" s="3" t="s">
        <v>20</v>
      </c>
      <c r="J130" s="3" t="s">
        <v>46</v>
      </c>
      <c r="K130" s="3" t="s">
        <v>47</v>
      </c>
      <c r="L130" s="3" t="s">
        <v>55</v>
      </c>
      <c r="M130" s="3">
        <v>1166.4100000000001</v>
      </c>
      <c r="N130" s="3">
        <v>1</v>
      </c>
      <c r="O130" s="3">
        <v>0</v>
      </c>
      <c r="P130" s="3" t="s">
        <v>24</v>
      </c>
      <c r="Q130" s="3"/>
      <c r="R130" s="3">
        <v>5</v>
      </c>
      <c r="S130" s="3">
        <v>1166.4100000000001</v>
      </c>
      <c r="T130">
        <v>1712.4960000000001</v>
      </c>
      <c r="U130">
        <v>3116.1779999999999</v>
      </c>
    </row>
    <row r="131" spans="1:21" x14ac:dyDescent="0.35">
      <c r="A131" s="3" t="s">
        <v>244</v>
      </c>
      <c r="B131" s="3">
        <v>1129</v>
      </c>
      <c r="C131">
        <v>5</v>
      </c>
      <c r="D131">
        <v>8</v>
      </c>
      <c r="E131">
        <v>2024</v>
      </c>
      <c r="F131" s="4">
        <f t="shared" ref="F131:F194" si="2">DATE(E131,D131,C131)</f>
        <v>45509</v>
      </c>
      <c r="G131" s="3" t="s">
        <v>111</v>
      </c>
      <c r="H131" s="3">
        <v>27</v>
      </c>
      <c r="I131" s="3" t="s">
        <v>32</v>
      </c>
      <c r="J131" s="3" t="s">
        <v>46</v>
      </c>
      <c r="K131" s="3" t="s">
        <v>41</v>
      </c>
      <c r="L131" s="3" t="s">
        <v>23</v>
      </c>
      <c r="M131" s="3">
        <v>410.99</v>
      </c>
      <c r="N131" s="3">
        <v>4</v>
      </c>
      <c r="O131" s="3">
        <v>0</v>
      </c>
      <c r="P131" s="3" t="s">
        <v>654</v>
      </c>
      <c r="Q131" s="3">
        <v>2</v>
      </c>
      <c r="R131" s="3">
        <v>4</v>
      </c>
      <c r="S131" s="3">
        <v>1643.96</v>
      </c>
      <c r="T131">
        <v>1220.1990000000001</v>
      </c>
      <c r="U131">
        <v>911.221</v>
      </c>
    </row>
    <row r="132" spans="1:21" x14ac:dyDescent="0.35">
      <c r="A132" s="3" t="s">
        <v>245</v>
      </c>
      <c r="B132" s="3">
        <v>1130</v>
      </c>
      <c r="C132">
        <v>11</v>
      </c>
      <c r="D132">
        <v>9</v>
      </c>
      <c r="E132">
        <v>2024</v>
      </c>
      <c r="F132" s="4">
        <f t="shared" si="2"/>
        <v>45546</v>
      </c>
      <c r="G132" s="3" t="s">
        <v>246</v>
      </c>
      <c r="H132" s="3">
        <v>43</v>
      </c>
      <c r="I132" s="3" t="s">
        <v>20</v>
      </c>
      <c r="J132" s="3" t="s">
        <v>33</v>
      </c>
      <c r="K132" s="3" t="s">
        <v>22</v>
      </c>
      <c r="L132" s="3" t="s">
        <v>35</v>
      </c>
      <c r="M132" s="3">
        <v>588.80999999999995</v>
      </c>
      <c r="N132" s="3">
        <v>4</v>
      </c>
      <c r="O132" s="3">
        <v>20</v>
      </c>
      <c r="P132" s="3" t="s">
        <v>654</v>
      </c>
      <c r="Q132" s="3">
        <v>1</v>
      </c>
      <c r="R132" s="3">
        <v>7</v>
      </c>
      <c r="S132" s="3">
        <v>1884.192</v>
      </c>
      <c r="T132">
        <v>404.52</v>
      </c>
      <c r="U132">
        <v>949.8</v>
      </c>
    </row>
    <row r="133" spans="1:21" x14ac:dyDescent="0.35">
      <c r="A133" s="3" t="s">
        <v>247</v>
      </c>
      <c r="B133" s="3">
        <v>1131</v>
      </c>
      <c r="C133">
        <v>24</v>
      </c>
      <c r="D133">
        <v>12</v>
      </c>
      <c r="E133">
        <v>2024</v>
      </c>
      <c r="F133" s="4">
        <f t="shared" si="2"/>
        <v>45650</v>
      </c>
      <c r="G133" s="3" t="s">
        <v>76</v>
      </c>
      <c r="H133" s="3">
        <v>36</v>
      </c>
      <c r="I133" s="3" t="s">
        <v>32</v>
      </c>
      <c r="J133" s="3" t="s">
        <v>46</v>
      </c>
      <c r="K133" s="3" t="s">
        <v>22</v>
      </c>
      <c r="L133" s="3" t="s">
        <v>42</v>
      </c>
      <c r="M133" s="3">
        <v>251.4</v>
      </c>
      <c r="N133" s="3">
        <v>1</v>
      </c>
      <c r="O133" s="3">
        <v>0</v>
      </c>
      <c r="P133" s="3" t="s">
        <v>24</v>
      </c>
      <c r="Q133" s="3"/>
      <c r="R133" s="3">
        <v>5</v>
      </c>
      <c r="S133" s="3">
        <v>251.4</v>
      </c>
      <c r="T133">
        <v>95.057000000000002</v>
      </c>
      <c r="U133">
        <v>383.59100000000001</v>
      </c>
    </row>
    <row r="134" spans="1:21" x14ac:dyDescent="0.35">
      <c r="A134" s="3" t="s">
        <v>248</v>
      </c>
      <c r="B134" s="3">
        <v>1132</v>
      </c>
      <c r="C134">
        <v>9</v>
      </c>
      <c r="D134">
        <v>10</v>
      </c>
      <c r="E134">
        <v>2024</v>
      </c>
      <c r="F134" s="4">
        <f t="shared" si="2"/>
        <v>45574</v>
      </c>
      <c r="G134" s="3" t="s">
        <v>152</v>
      </c>
      <c r="H134" s="3">
        <v>56</v>
      </c>
      <c r="I134" s="3" t="s">
        <v>20</v>
      </c>
      <c r="J134" s="3" t="s">
        <v>21</v>
      </c>
      <c r="K134" s="3" t="s">
        <v>47</v>
      </c>
      <c r="L134" s="3" t="s">
        <v>55</v>
      </c>
      <c r="M134" s="3">
        <v>740.72</v>
      </c>
      <c r="N134" s="3">
        <v>2</v>
      </c>
      <c r="O134" s="3">
        <v>15</v>
      </c>
      <c r="P134" s="3" t="s">
        <v>653</v>
      </c>
      <c r="Q134" s="3">
        <v>5</v>
      </c>
      <c r="R134" s="3">
        <v>6</v>
      </c>
      <c r="S134" s="3">
        <v>1259.2239999999999</v>
      </c>
      <c r="T134">
        <v>94.158000000000001</v>
      </c>
      <c r="U134">
        <v>1295.328</v>
      </c>
    </row>
    <row r="135" spans="1:21" x14ac:dyDescent="0.35">
      <c r="A135" s="3" t="s">
        <v>249</v>
      </c>
      <c r="B135" s="3">
        <v>1133</v>
      </c>
      <c r="C135">
        <v>25</v>
      </c>
      <c r="D135">
        <v>7</v>
      </c>
      <c r="E135">
        <v>2024</v>
      </c>
      <c r="F135" s="4">
        <f t="shared" si="2"/>
        <v>45498</v>
      </c>
      <c r="G135" s="3" t="s">
        <v>156</v>
      </c>
      <c r="H135" s="3">
        <v>20</v>
      </c>
      <c r="I135" s="3" t="s">
        <v>32</v>
      </c>
      <c r="J135" s="3" t="s">
        <v>33</v>
      </c>
      <c r="K135" s="3" t="s">
        <v>22</v>
      </c>
      <c r="L135" s="3" t="s">
        <v>96</v>
      </c>
      <c r="M135" s="3">
        <v>351.21</v>
      </c>
      <c r="N135" s="3">
        <v>3</v>
      </c>
      <c r="O135" s="3">
        <v>20</v>
      </c>
      <c r="P135" s="3" t="s">
        <v>653</v>
      </c>
      <c r="Q135" s="3">
        <v>2</v>
      </c>
      <c r="R135" s="3">
        <v>4</v>
      </c>
      <c r="S135" s="3">
        <v>842.904</v>
      </c>
      <c r="T135">
        <v>1394.0640000000001</v>
      </c>
      <c r="U135">
        <v>1145.0429999999999</v>
      </c>
    </row>
    <row r="136" spans="1:21" x14ac:dyDescent="0.35">
      <c r="A136" s="3" t="s">
        <v>250</v>
      </c>
      <c r="B136" s="3">
        <v>1134</v>
      </c>
      <c r="C136">
        <v>15</v>
      </c>
      <c r="D136">
        <v>1</v>
      </c>
      <c r="E136">
        <v>2024</v>
      </c>
      <c r="F136" s="4">
        <f t="shared" si="2"/>
        <v>45306</v>
      </c>
      <c r="G136" s="3" t="s">
        <v>178</v>
      </c>
      <c r="H136" s="3">
        <v>30</v>
      </c>
      <c r="I136" s="3" t="s">
        <v>20</v>
      </c>
      <c r="J136" s="3" t="s">
        <v>21</v>
      </c>
      <c r="K136" s="3" t="s">
        <v>34</v>
      </c>
      <c r="L136" s="3" t="s">
        <v>23</v>
      </c>
      <c r="M136" s="3">
        <v>264.25</v>
      </c>
      <c r="N136" s="3">
        <v>4</v>
      </c>
      <c r="O136" s="3">
        <v>10</v>
      </c>
      <c r="P136" s="3" t="s">
        <v>24</v>
      </c>
      <c r="Q136" s="3">
        <v>5</v>
      </c>
      <c r="R136" s="3">
        <v>2</v>
      </c>
      <c r="S136" s="3">
        <v>951.3</v>
      </c>
      <c r="T136">
        <v>734.82</v>
      </c>
      <c r="U136">
        <v>321.94549999999998</v>
      </c>
    </row>
    <row r="137" spans="1:21" x14ac:dyDescent="0.35">
      <c r="A137" s="3" t="s">
        <v>251</v>
      </c>
      <c r="B137" s="3">
        <v>1135</v>
      </c>
      <c r="C137">
        <v>11</v>
      </c>
      <c r="D137">
        <v>12</v>
      </c>
      <c r="E137">
        <v>2024</v>
      </c>
      <c r="F137" s="4">
        <f t="shared" si="2"/>
        <v>45637</v>
      </c>
      <c r="G137" s="3" t="s">
        <v>37</v>
      </c>
      <c r="H137" s="3">
        <v>45</v>
      </c>
      <c r="I137" s="3" t="s">
        <v>32</v>
      </c>
      <c r="J137" s="3" t="s">
        <v>27</v>
      </c>
      <c r="K137" s="3" t="s">
        <v>38</v>
      </c>
      <c r="L137" s="3" t="s">
        <v>96</v>
      </c>
      <c r="M137" s="3">
        <v>629.55999999999995</v>
      </c>
      <c r="N137" s="3">
        <v>4</v>
      </c>
      <c r="O137" s="3">
        <v>0</v>
      </c>
      <c r="P137" s="3" t="s">
        <v>29</v>
      </c>
      <c r="Q137" s="3"/>
      <c r="R137" s="3">
        <v>9</v>
      </c>
      <c r="S137" s="3">
        <v>2518.2399999999998</v>
      </c>
      <c r="T137">
        <v>1530.748</v>
      </c>
      <c r="U137">
        <v>1290.232</v>
      </c>
    </row>
    <row r="138" spans="1:21" x14ac:dyDescent="0.35">
      <c r="A138" s="3" t="s">
        <v>252</v>
      </c>
      <c r="B138" s="3">
        <v>1136</v>
      </c>
      <c r="C138">
        <v>11</v>
      </c>
      <c r="D138">
        <v>2</v>
      </c>
      <c r="E138">
        <v>2024</v>
      </c>
      <c r="F138" s="4">
        <f t="shared" si="2"/>
        <v>45333</v>
      </c>
      <c r="G138" s="3" t="s">
        <v>83</v>
      </c>
      <c r="H138" s="3">
        <v>37</v>
      </c>
      <c r="I138" s="3" t="s">
        <v>32</v>
      </c>
      <c r="J138" s="3" t="s">
        <v>21</v>
      </c>
      <c r="K138" s="3" t="s">
        <v>47</v>
      </c>
      <c r="L138" s="3" t="s">
        <v>79</v>
      </c>
      <c r="M138" s="3">
        <v>26.5</v>
      </c>
      <c r="N138" s="3">
        <v>3</v>
      </c>
      <c r="O138" s="3">
        <v>5</v>
      </c>
      <c r="P138" s="3" t="s">
        <v>654</v>
      </c>
      <c r="Q138" s="3"/>
      <c r="R138" s="3">
        <v>7</v>
      </c>
      <c r="S138" s="3">
        <v>75.525000000000006</v>
      </c>
      <c r="T138">
        <v>501.79500000000002</v>
      </c>
      <c r="U138">
        <v>988.2</v>
      </c>
    </row>
    <row r="139" spans="1:21" x14ac:dyDescent="0.35">
      <c r="A139" s="3" t="s">
        <v>253</v>
      </c>
      <c r="B139" s="3">
        <v>1137</v>
      </c>
      <c r="C139">
        <v>27</v>
      </c>
      <c r="D139">
        <v>6</v>
      </c>
      <c r="E139">
        <v>2024</v>
      </c>
      <c r="F139" s="4">
        <f t="shared" si="2"/>
        <v>45470</v>
      </c>
      <c r="G139" s="3" t="s">
        <v>169</v>
      </c>
      <c r="H139" s="3">
        <v>45</v>
      </c>
      <c r="I139" s="3" t="s">
        <v>20</v>
      </c>
      <c r="J139" s="3" t="s">
        <v>27</v>
      </c>
      <c r="K139" s="3" t="s">
        <v>41</v>
      </c>
      <c r="L139" s="3" t="s">
        <v>79</v>
      </c>
      <c r="M139" s="3">
        <v>29.04</v>
      </c>
      <c r="N139" s="3">
        <v>1</v>
      </c>
      <c r="O139" s="3">
        <v>0</v>
      </c>
      <c r="P139" s="3" t="s">
        <v>29</v>
      </c>
      <c r="Q139" s="3">
        <v>2</v>
      </c>
      <c r="R139" s="3">
        <v>4</v>
      </c>
      <c r="S139" s="3">
        <v>29.04</v>
      </c>
      <c r="T139">
        <v>1157.54</v>
      </c>
      <c r="U139">
        <v>3816.768</v>
      </c>
    </row>
    <row r="140" spans="1:21" x14ac:dyDescent="0.35">
      <c r="A140" s="3" t="s">
        <v>254</v>
      </c>
      <c r="B140" s="3">
        <v>1138</v>
      </c>
      <c r="C140">
        <v>3</v>
      </c>
      <c r="D140">
        <v>3</v>
      </c>
      <c r="E140">
        <v>2024</v>
      </c>
      <c r="F140" s="4">
        <f t="shared" si="2"/>
        <v>45354</v>
      </c>
      <c r="G140" s="3" t="s">
        <v>167</v>
      </c>
      <c r="H140" s="3">
        <v>25</v>
      </c>
      <c r="I140" s="3" t="s">
        <v>20</v>
      </c>
      <c r="J140" s="3" t="s">
        <v>27</v>
      </c>
      <c r="K140" s="3" t="s">
        <v>34</v>
      </c>
      <c r="L140" s="3" t="s">
        <v>48</v>
      </c>
      <c r="M140" s="3">
        <v>278.5</v>
      </c>
      <c r="N140" s="3">
        <v>1</v>
      </c>
      <c r="O140" s="3">
        <v>10</v>
      </c>
      <c r="P140" s="3" t="s">
        <v>653</v>
      </c>
      <c r="Q140" s="3">
        <v>5</v>
      </c>
      <c r="R140" s="3">
        <v>3</v>
      </c>
      <c r="S140" s="3">
        <v>250.65</v>
      </c>
      <c r="T140">
        <v>1704.096</v>
      </c>
      <c r="U140">
        <v>2153.5169999999998</v>
      </c>
    </row>
    <row r="141" spans="1:21" x14ac:dyDescent="0.35">
      <c r="A141" s="3" t="s">
        <v>255</v>
      </c>
      <c r="B141" s="3">
        <v>1139</v>
      </c>
      <c r="C141">
        <v>17</v>
      </c>
      <c r="D141">
        <v>12</v>
      </c>
      <c r="E141">
        <v>2024</v>
      </c>
      <c r="F141" s="4">
        <f t="shared" si="2"/>
        <v>45643</v>
      </c>
      <c r="G141" s="3" t="s">
        <v>76</v>
      </c>
      <c r="H141" s="3">
        <v>58</v>
      </c>
      <c r="I141" s="3" t="s">
        <v>32</v>
      </c>
      <c r="J141" s="3" t="s">
        <v>21</v>
      </c>
      <c r="K141" s="3" t="s">
        <v>47</v>
      </c>
      <c r="L141" s="3" t="s">
        <v>35</v>
      </c>
      <c r="M141" s="3">
        <v>63.33</v>
      </c>
      <c r="N141" s="3">
        <v>1</v>
      </c>
      <c r="O141" s="3">
        <v>20</v>
      </c>
      <c r="P141" s="3" t="s">
        <v>653</v>
      </c>
      <c r="Q141" s="3">
        <v>3</v>
      </c>
      <c r="R141" s="3">
        <v>3</v>
      </c>
      <c r="S141" s="3">
        <v>50.664000000000001</v>
      </c>
      <c r="T141">
        <v>169.59</v>
      </c>
      <c r="U141">
        <v>1245.366</v>
      </c>
    </row>
    <row r="142" spans="1:21" x14ac:dyDescent="0.35">
      <c r="A142" s="3" t="s">
        <v>256</v>
      </c>
      <c r="B142" s="3">
        <v>1140</v>
      </c>
      <c r="C142">
        <v>18</v>
      </c>
      <c r="D142">
        <v>8</v>
      </c>
      <c r="E142">
        <v>2024</v>
      </c>
      <c r="F142" s="4">
        <f t="shared" si="2"/>
        <v>45522</v>
      </c>
      <c r="G142" s="3" t="s">
        <v>57</v>
      </c>
      <c r="H142" s="3">
        <v>56</v>
      </c>
      <c r="I142" s="3" t="s">
        <v>20</v>
      </c>
      <c r="J142" s="3" t="s">
        <v>33</v>
      </c>
      <c r="K142" s="3" t="s">
        <v>22</v>
      </c>
      <c r="L142" s="3" t="s">
        <v>55</v>
      </c>
      <c r="M142" s="3">
        <v>147.47</v>
      </c>
      <c r="N142" s="3">
        <v>2</v>
      </c>
      <c r="O142" s="3">
        <v>10</v>
      </c>
      <c r="P142" s="3" t="s">
        <v>29</v>
      </c>
      <c r="Q142" s="3">
        <v>5</v>
      </c>
      <c r="R142" s="3">
        <v>9</v>
      </c>
      <c r="S142" s="3">
        <v>265.44600000000003</v>
      </c>
      <c r="T142">
        <v>793.55399999999997</v>
      </c>
      <c r="U142">
        <v>601.904</v>
      </c>
    </row>
    <row r="143" spans="1:21" x14ac:dyDescent="0.35">
      <c r="A143" s="3" t="s">
        <v>257</v>
      </c>
      <c r="B143" s="3">
        <v>1141</v>
      </c>
      <c r="C143">
        <v>28</v>
      </c>
      <c r="D143">
        <v>8</v>
      </c>
      <c r="E143">
        <v>2024</v>
      </c>
      <c r="F143" s="4">
        <f t="shared" si="2"/>
        <v>45532</v>
      </c>
      <c r="G143" s="3" t="s">
        <v>164</v>
      </c>
      <c r="H143" s="3">
        <v>18</v>
      </c>
      <c r="I143" s="3" t="s">
        <v>32</v>
      </c>
      <c r="J143" s="3" t="s">
        <v>46</v>
      </c>
      <c r="K143" s="3" t="s">
        <v>22</v>
      </c>
      <c r="L143" s="3" t="s">
        <v>28</v>
      </c>
      <c r="M143" s="3">
        <v>419.86</v>
      </c>
      <c r="N143" s="3">
        <v>2</v>
      </c>
      <c r="O143" s="3">
        <v>5</v>
      </c>
      <c r="P143" s="3" t="s">
        <v>24</v>
      </c>
      <c r="Q143" s="3"/>
      <c r="R143" s="3">
        <v>5</v>
      </c>
      <c r="S143" s="3">
        <v>797.73400000000004</v>
      </c>
      <c r="T143">
        <v>161.70400000000001</v>
      </c>
      <c r="U143">
        <v>734.01750000000004</v>
      </c>
    </row>
    <row r="144" spans="1:21" x14ac:dyDescent="0.35">
      <c r="A144" s="3" t="s">
        <v>258</v>
      </c>
      <c r="B144" s="3">
        <v>1142</v>
      </c>
      <c r="C144">
        <v>21</v>
      </c>
      <c r="D144">
        <v>2</v>
      </c>
      <c r="E144">
        <v>2024</v>
      </c>
      <c r="F144" s="4">
        <f t="shared" si="2"/>
        <v>45343</v>
      </c>
      <c r="G144" s="3" t="s">
        <v>182</v>
      </c>
      <c r="H144" s="3">
        <v>20</v>
      </c>
      <c r="I144" s="3" t="s">
        <v>32</v>
      </c>
      <c r="J144" s="3" t="s">
        <v>46</v>
      </c>
      <c r="K144" s="3" t="s">
        <v>22</v>
      </c>
      <c r="L144" s="3" t="s">
        <v>28</v>
      </c>
      <c r="M144" s="3">
        <v>967.05</v>
      </c>
      <c r="N144" s="3">
        <v>4</v>
      </c>
      <c r="O144" s="3">
        <v>15</v>
      </c>
      <c r="P144" s="3" t="s">
        <v>29</v>
      </c>
      <c r="Q144" s="3">
        <v>5</v>
      </c>
      <c r="R144" s="3">
        <v>3</v>
      </c>
      <c r="S144" s="3">
        <v>3287.97</v>
      </c>
      <c r="T144">
        <v>2919.4560000000001</v>
      </c>
      <c r="U144">
        <v>1167.0239999999999</v>
      </c>
    </row>
    <row r="145" spans="1:21" x14ac:dyDescent="0.35">
      <c r="A145" s="3" t="s">
        <v>259</v>
      </c>
      <c r="B145" s="3">
        <v>1143</v>
      </c>
      <c r="C145">
        <v>5</v>
      </c>
      <c r="D145">
        <v>4</v>
      </c>
      <c r="E145">
        <v>2024</v>
      </c>
      <c r="F145" s="4">
        <f t="shared" si="2"/>
        <v>45387</v>
      </c>
      <c r="G145" s="3" t="s">
        <v>134</v>
      </c>
      <c r="H145" s="3">
        <v>30</v>
      </c>
      <c r="I145" s="3" t="s">
        <v>32</v>
      </c>
      <c r="J145" s="3" t="s">
        <v>27</v>
      </c>
      <c r="K145" s="3" t="s">
        <v>22</v>
      </c>
      <c r="L145" s="3" t="s">
        <v>55</v>
      </c>
      <c r="M145" s="3">
        <v>695.02</v>
      </c>
      <c r="N145" s="3">
        <v>1</v>
      </c>
      <c r="O145" s="3">
        <v>0</v>
      </c>
      <c r="P145" s="3" t="s">
        <v>29</v>
      </c>
      <c r="Q145" s="3">
        <v>1</v>
      </c>
      <c r="R145" s="3">
        <v>5</v>
      </c>
      <c r="S145" s="3">
        <v>695.02</v>
      </c>
      <c r="T145">
        <v>1683.18</v>
      </c>
      <c r="U145">
        <v>63.231999999999999</v>
      </c>
    </row>
    <row r="146" spans="1:21" x14ac:dyDescent="0.35">
      <c r="A146" s="3" t="s">
        <v>260</v>
      </c>
      <c r="B146" s="3">
        <v>1144</v>
      </c>
      <c r="C146">
        <v>9</v>
      </c>
      <c r="D146">
        <v>8</v>
      </c>
      <c r="E146">
        <v>2024</v>
      </c>
      <c r="F146" s="4">
        <f t="shared" si="2"/>
        <v>45513</v>
      </c>
      <c r="G146" s="3" t="s">
        <v>216</v>
      </c>
      <c r="H146" s="3">
        <v>45</v>
      </c>
      <c r="I146" s="3" t="s">
        <v>20</v>
      </c>
      <c r="J146" s="3" t="s">
        <v>27</v>
      </c>
      <c r="K146" s="3" t="s">
        <v>41</v>
      </c>
      <c r="L146" s="3" t="s">
        <v>42</v>
      </c>
      <c r="M146" s="3">
        <v>624.95000000000005</v>
      </c>
      <c r="N146" s="3">
        <v>3</v>
      </c>
      <c r="O146" s="3">
        <v>20</v>
      </c>
      <c r="P146" s="3" t="s">
        <v>654</v>
      </c>
      <c r="Q146" s="3">
        <v>3</v>
      </c>
      <c r="R146" s="3">
        <v>2</v>
      </c>
      <c r="S146" s="3">
        <v>1499.88</v>
      </c>
      <c r="T146">
        <v>4591.92</v>
      </c>
      <c r="U146">
        <v>2378.7719999999999</v>
      </c>
    </row>
    <row r="147" spans="1:21" x14ac:dyDescent="0.35">
      <c r="A147" s="3" t="s">
        <v>261</v>
      </c>
      <c r="B147" s="3">
        <v>1145</v>
      </c>
      <c r="C147">
        <v>18</v>
      </c>
      <c r="D147">
        <v>8</v>
      </c>
      <c r="E147">
        <v>2024</v>
      </c>
      <c r="F147" s="4">
        <f t="shared" si="2"/>
        <v>45522</v>
      </c>
      <c r="G147" s="3" t="s">
        <v>262</v>
      </c>
      <c r="H147" s="3">
        <v>42</v>
      </c>
      <c r="I147" s="3" t="s">
        <v>32</v>
      </c>
      <c r="J147" s="3" t="s">
        <v>33</v>
      </c>
      <c r="K147" s="3" t="s">
        <v>34</v>
      </c>
      <c r="L147" s="3" t="s">
        <v>35</v>
      </c>
      <c r="M147" s="3">
        <v>366.32</v>
      </c>
      <c r="N147" s="3">
        <v>4</v>
      </c>
      <c r="O147" s="3">
        <v>15</v>
      </c>
      <c r="P147" s="3" t="s">
        <v>654</v>
      </c>
      <c r="Q147" s="3">
        <v>4</v>
      </c>
      <c r="R147" s="3">
        <v>4</v>
      </c>
      <c r="S147" s="3">
        <v>1245.4880000000001</v>
      </c>
      <c r="T147">
        <v>1791.9179999999999</v>
      </c>
      <c r="U147">
        <v>981.71600000000001</v>
      </c>
    </row>
    <row r="148" spans="1:21" x14ac:dyDescent="0.35">
      <c r="A148" s="3" t="s">
        <v>263</v>
      </c>
      <c r="B148" s="3">
        <v>1146</v>
      </c>
      <c r="C148">
        <v>24</v>
      </c>
      <c r="D148">
        <v>8</v>
      </c>
      <c r="E148">
        <v>2024</v>
      </c>
      <c r="F148" s="4">
        <f t="shared" si="2"/>
        <v>45528</v>
      </c>
      <c r="G148" s="3" t="s">
        <v>264</v>
      </c>
      <c r="H148" s="3">
        <v>50</v>
      </c>
      <c r="I148" s="3" t="s">
        <v>32</v>
      </c>
      <c r="J148" s="3" t="s">
        <v>51</v>
      </c>
      <c r="K148" s="3" t="s">
        <v>38</v>
      </c>
      <c r="L148" s="3" t="s">
        <v>96</v>
      </c>
      <c r="M148" s="3">
        <v>1119.47</v>
      </c>
      <c r="N148" s="3">
        <v>3</v>
      </c>
      <c r="O148" s="3">
        <v>10</v>
      </c>
      <c r="P148" s="3" t="s">
        <v>29</v>
      </c>
      <c r="Q148" s="3">
        <v>1</v>
      </c>
      <c r="R148" s="3">
        <v>2</v>
      </c>
      <c r="S148" s="3">
        <v>3022.569</v>
      </c>
      <c r="T148">
        <v>2834.7359999999999</v>
      </c>
      <c r="U148">
        <v>2199.3449999999998</v>
      </c>
    </row>
    <row r="149" spans="1:21" x14ac:dyDescent="0.35">
      <c r="A149" s="3" t="s">
        <v>265</v>
      </c>
      <c r="B149" s="3">
        <v>1147</v>
      </c>
      <c r="C149">
        <v>22</v>
      </c>
      <c r="D149">
        <v>5</v>
      </c>
      <c r="E149">
        <v>2024</v>
      </c>
      <c r="F149" s="4">
        <f t="shared" si="2"/>
        <v>45434</v>
      </c>
      <c r="G149" s="3" t="s">
        <v>266</v>
      </c>
      <c r="H149" s="3">
        <v>55</v>
      </c>
      <c r="I149" s="3" t="s">
        <v>20</v>
      </c>
      <c r="J149" s="3" t="s">
        <v>21</v>
      </c>
      <c r="K149" s="3" t="s">
        <v>41</v>
      </c>
      <c r="L149" s="3" t="s">
        <v>42</v>
      </c>
      <c r="M149" s="3">
        <v>488.48</v>
      </c>
      <c r="N149" s="3">
        <v>4</v>
      </c>
      <c r="O149" s="3">
        <v>20</v>
      </c>
      <c r="P149" s="3" t="s">
        <v>29</v>
      </c>
      <c r="Q149" s="3">
        <v>4</v>
      </c>
      <c r="R149" s="3">
        <v>2</v>
      </c>
      <c r="S149" s="3">
        <v>1563.136</v>
      </c>
      <c r="T149">
        <v>1026.912</v>
      </c>
      <c r="U149">
        <v>828.52350000000001</v>
      </c>
    </row>
    <row r="150" spans="1:21" x14ac:dyDescent="0.35">
      <c r="A150" s="3" t="s">
        <v>267</v>
      </c>
      <c r="B150" s="3">
        <v>1148</v>
      </c>
      <c r="C150">
        <v>19</v>
      </c>
      <c r="D150">
        <v>6</v>
      </c>
      <c r="E150">
        <v>2024</v>
      </c>
      <c r="F150" s="4">
        <f t="shared" si="2"/>
        <v>45462</v>
      </c>
      <c r="G150" s="3" t="s">
        <v>118</v>
      </c>
      <c r="H150" s="3">
        <v>23</v>
      </c>
      <c r="I150" s="3" t="s">
        <v>20</v>
      </c>
      <c r="J150" s="3" t="s">
        <v>27</v>
      </c>
      <c r="K150" s="3" t="s">
        <v>41</v>
      </c>
      <c r="L150" s="3" t="s">
        <v>125</v>
      </c>
      <c r="M150" s="3">
        <v>122.77</v>
      </c>
      <c r="N150" s="3">
        <v>2</v>
      </c>
      <c r="O150" s="3">
        <v>15</v>
      </c>
      <c r="P150" s="3" t="s">
        <v>653</v>
      </c>
      <c r="Q150" s="3">
        <v>2</v>
      </c>
      <c r="R150" s="3">
        <v>8</v>
      </c>
      <c r="S150" s="3">
        <v>208.709</v>
      </c>
      <c r="T150">
        <v>758.98800000000006</v>
      </c>
      <c r="U150">
        <v>3767.616</v>
      </c>
    </row>
    <row r="151" spans="1:21" x14ac:dyDescent="0.35">
      <c r="A151" s="3" t="s">
        <v>268</v>
      </c>
      <c r="B151" s="3">
        <v>1149</v>
      </c>
      <c r="C151">
        <v>29</v>
      </c>
      <c r="D151">
        <v>1</v>
      </c>
      <c r="E151">
        <v>2024</v>
      </c>
      <c r="F151" s="4">
        <f t="shared" si="2"/>
        <v>45320</v>
      </c>
      <c r="G151" s="3" t="s">
        <v>118</v>
      </c>
      <c r="H151" s="3">
        <v>49</v>
      </c>
      <c r="I151" s="3" t="s">
        <v>20</v>
      </c>
      <c r="J151" s="3" t="s">
        <v>46</v>
      </c>
      <c r="K151" s="3" t="s">
        <v>38</v>
      </c>
      <c r="L151" s="3" t="s">
        <v>55</v>
      </c>
      <c r="M151" s="3">
        <v>748.14</v>
      </c>
      <c r="N151" s="3">
        <v>4</v>
      </c>
      <c r="O151" s="3">
        <v>20</v>
      </c>
      <c r="P151" s="3" t="s">
        <v>654</v>
      </c>
      <c r="Q151" s="3">
        <v>4</v>
      </c>
      <c r="R151" s="3">
        <v>1</v>
      </c>
      <c r="S151" s="3">
        <v>2394.0479999999998</v>
      </c>
      <c r="T151">
        <v>1251.8340000000001</v>
      </c>
      <c r="U151">
        <v>317.851</v>
      </c>
    </row>
    <row r="152" spans="1:21" x14ac:dyDescent="0.35">
      <c r="A152" s="3" t="s">
        <v>269</v>
      </c>
      <c r="B152" s="3">
        <v>1150</v>
      </c>
      <c r="C152">
        <v>5</v>
      </c>
      <c r="D152">
        <v>2</v>
      </c>
      <c r="E152">
        <v>2024</v>
      </c>
      <c r="F152" s="4">
        <f t="shared" si="2"/>
        <v>45327</v>
      </c>
      <c r="G152" s="3" t="s">
        <v>270</v>
      </c>
      <c r="H152" s="3">
        <v>38</v>
      </c>
      <c r="I152" s="3" t="s">
        <v>20</v>
      </c>
      <c r="J152" s="3" t="s">
        <v>33</v>
      </c>
      <c r="K152" s="3" t="s">
        <v>38</v>
      </c>
      <c r="L152" s="3" t="s">
        <v>96</v>
      </c>
      <c r="M152" s="3">
        <v>154.33000000000001</v>
      </c>
      <c r="N152" s="3">
        <v>2</v>
      </c>
      <c r="O152" s="3">
        <v>5</v>
      </c>
      <c r="P152" s="3" t="s">
        <v>654</v>
      </c>
      <c r="Q152" s="3">
        <v>5</v>
      </c>
      <c r="R152" s="3">
        <v>7</v>
      </c>
      <c r="S152" s="3">
        <v>293.22699999999998</v>
      </c>
      <c r="T152">
        <v>2558.8440000000001</v>
      </c>
      <c r="U152">
        <v>3637.2460000000001</v>
      </c>
    </row>
    <row r="153" spans="1:21" x14ac:dyDescent="0.35">
      <c r="A153" s="3" t="s">
        <v>271</v>
      </c>
      <c r="B153" s="3">
        <v>1151</v>
      </c>
      <c r="C153">
        <v>13</v>
      </c>
      <c r="D153">
        <v>1</v>
      </c>
      <c r="E153">
        <v>2024</v>
      </c>
      <c r="F153" s="4">
        <f t="shared" si="2"/>
        <v>45304</v>
      </c>
      <c r="G153" s="3" t="s">
        <v>172</v>
      </c>
      <c r="H153" s="3">
        <v>33</v>
      </c>
      <c r="I153" s="3" t="s">
        <v>32</v>
      </c>
      <c r="J153" s="3" t="s">
        <v>21</v>
      </c>
      <c r="K153" s="3" t="s">
        <v>22</v>
      </c>
      <c r="L153" s="3" t="s">
        <v>28</v>
      </c>
      <c r="M153" s="3">
        <v>427.36</v>
      </c>
      <c r="N153" s="3">
        <v>4</v>
      </c>
      <c r="O153" s="3">
        <v>5</v>
      </c>
      <c r="P153" s="3" t="s">
        <v>653</v>
      </c>
      <c r="Q153" s="3">
        <v>4</v>
      </c>
      <c r="R153" s="3">
        <v>5</v>
      </c>
      <c r="S153" s="3">
        <v>1623.9680000000001</v>
      </c>
      <c r="T153">
        <v>2373.1559999999999</v>
      </c>
      <c r="U153">
        <v>4008.886</v>
      </c>
    </row>
    <row r="154" spans="1:21" x14ac:dyDescent="0.35">
      <c r="A154" s="3" t="s">
        <v>272</v>
      </c>
      <c r="B154" s="3">
        <v>1152</v>
      </c>
      <c r="C154">
        <v>8</v>
      </c>
      <c r="D154">
        <v>6</v>
      </c>
      <c r="E154">
        <v>2024</v>
      </c>
      <c r="F154" s="4">
        <f t="shared" si="2"/>
        <v>45451</v>
      </c>
      <c r="G154" s="3" t="s">
        <v>72</v>
      </c>
      <c r="H154" s="3">
        <v>38</v>
      </c>
      <c r="I154" s="3" t="s">
        <v>32</v>
      </c>
      <c r="J154" s="3" t="s">
        <v>33</v>
      </c>
      <c r="K154" s="3" t="s">
        <v>41</v>
      </c>
      <c r="L154" s="3" t="s">
        <v>64</v>
      </c>
      <c r="M154" s="3">
        <v>618.75</v>
      </c>
      <c r="N154" s="3">
        <v>1</v>
      </c>
      <c r="O154" s="3">
        <v>0</v>
      </c>
      <c r="P154" s="3" t="s">
        <v>24</v>
      </c>
      <c r="Q154" s="3"/>
      <c r="R154" s="3">
        <v>8</v>
      </c>
      <c r="S154" s="3">
        <v>618.75</v>
      </c>
      <c r="T154">
        <v>2343.5520000000001</v>
      </c>
      <c r="U154">
        <v>883.14149999999995</v>
      </c>
    </row>
    <row r="155" spans="1:21" x14ac:dyDescent="0.35">
      <c r="A155" s="3" t="s">
        <v>273</v>
      </c>
      <c r="B155" s="3">
        <v>1153</v>
      </c>
      <c r="C155">
        <v>22</v>
      </c>
      <c r="D155">
        <v>11</v>
      </c>
      <c r="E155">
        <v>2024</v>
      </c>
      <c r="F155" s="4">
        <f t="shared" si="2"/>
        <v>45618</v>
      </c>
      <c r="G155" s="3" t="s">
        <v>111</v>
      </c>
      <c r="H155" s="3">
        <v>28</v>
      </c>
      <c r="I155" s="3" t="s">
        <v>32</v>
      </c>
      <c r="J155" s="3" t="s">
        <v>21</v>
      </c>
      <c r="K155" s="3" t="s">
        <v>47</v>
      </c>
      <c r="L155" s="3" t="s">
        <v>48</v>
      </c>
      <c r="M155" s="3">
        <v>1051.58</v>
      </c>
      <c r="N155" s="3">
        <v>3</v>
      </c>
      <c r="O155" s="3">
        <v>0</v>
      </c>
      <c r="P155" s="3" t="s">
        <v>654</v>
      </c>
      <c r="Q155" s="3">
        <v>1</v>
      </c>
      <c r="R155" s="3">
        <v>1</v>
      </c>
      <c r="S155" s="3">
        <v>3154.74</v>
      </c>
      <c r="T155">
        <v>903.33900000000006</v>
      </c>
      <c r="U155">
        <v>1285.992</v>
      </c>
    </row>
    <row r="156" spans="1:21" x14ac:dyDescent="0.35">
      <c r="A156" s="3" t="s">
        <v>274</v>
      </c>
      <c r="B156" s="3">
        <v>1154</v>
      </c>
      <c r="C156">
        <v>5</v>
      </c>
      <c r="D156">
        <v>7</v>
      </c>
      <c r="E156">
        <v>2024</v>
      </c>
      <c r="F156" s="4">
        <f t="shared" si="2"/>
        <v>45478</v>
      </c>
      <c r="G156" s="3" t="s">
        <v>37</v>
      </c>
      <c r="H156" s="3">
        <v>54</v>
      </c>
      <c r="I156" s="3" t="s">
        <v>32</v>
      </c>
      <c r="J156" s="3" t="s">
        <v>21</v>
      </c>
      <c r="K156" s="3" t="s">
        <v>38</v>
      </c>
      <c r="L156" s="3" t="s">
        <v>28</v>
      </c>
      <c r="M156" s="3">
        <v>602.38</v>
      </c>
      <c r="N156" s="3">
        <v>1</v>
      </c>
      <c r="O156" s="3">
        <v>5</v>
      </c>
      <c r="P156" s="3" t="s">
        <v>654</v>
      </c>
      <c r="Q156" s="3">
        <v>1</v>
      </c>
      <c r="R156" s="3">
        <v>7</v>
      </c>
      <c r="S156" s="3">
        <v>572.26099999999997</v>
      </c>
      <c r="T156">
        <v>339.07499999999999</v>
      </c>
      <c r="U156">
        <v>1837.84</v>
      </c>
    </row>
    <row r="157" spans="1:21" x14ac:dyDescent="0.35">
      <c r="A157" s="3" t="s">
        <v>275</v>
      </c>
      <c r="B157" s="3">
        <v>1155</v>
      </c>
      <c r="C157">
        <v>30</v>
      </c>
      <c r="D157">
        <v>8</v>
      </c>
      <c r="E157">
        <v>2024</v>
      </c>
      <c r="F157" s="4">
        <f t="shared" si="2"/>
        <v>45534</v>
      </c>
      <c r="G157" s="3" t="s">
        <v>143</v>
      </c>
      <c r="H157" s="3"/>
      <c r="I157" s="3" t="s">
        <v>20</v>
      </c>
      <c r="J157" s="3" t="s">
        <v>655</v>
      </c>
      <c r="K157" s="3" t="s">
        <v>38</v>
      </c>
      <c r="L157" s="3" t="s">
        <v>35</v>
      </c>
      <c r="M157" s="3">
        <v>848.67</v>
      </c>
      <c r="N157" s="3">
        <v>4</v>
      </c>
      <c r="O157" s="3">
        <v>20</v>
      </c>
      <c r="P157" s="3" t="s">
        <v>24</v>
      </c>
      <c r="Q157" s="3"/>
      <c r="R157" s="3">
        <v>5</v>
      </c>
      <c r="S157" s="3">
        <v>2715.7440000000001</v>
      </c>
      <c r="T157">
        <v>619.43799999999999</v>
      </c>
      <c r="U157">
        <v>1428.36</v>
      </c>
    </row>
    <row r="158" spans="1:21" x14ac:dyDescent="0.35">
      <c r="A158" s="3" t="s">
        <v>276</v>
      </c>
      <c r="B158" s="3">
        <v>1156</v>
      </c>
      <c r="C158">
        <v>26</v>
      </c>
      <c r="D158">
        <v>3</v>
      </c>
      <c r="E158">
        <v>2024</v>
      </c>
      <c r="F158" s="4">
        <f t="shared" si="2"/>
        <v>45377</v>
      </c>
      <c r="G158" s="3" t="s">
        <v>233</v>
      </c>
      <c r="H158" s="3">
        <v>52</v>
      </c>
      <c r="I158" s="3" t="s">
        <v>32</v>
      </c>
      <c r="J158" s="3" t="s">
        <v>33</v>
      </c>
      <c r="K158" s="3" t="s">
        <v>34</v>
      </c>
      <c r="L158" s="3" t="s">
        <v>79</v>
      </c>
      <c r="M158" s="3">
        <v>1191.52</v>
      </c>
      <c r="N158" s="3">
        <v>4</v>
      </c>
      <c r="O158" s="3">
        <v>5</v>
      </c>
      <c r="P158" s="3" t="s">
        <v>654</v>
      </c>
      <c r="Q158" s="3">
        <v>1</v>
      </c>
      <c r="R158" s="3">
        <v>4</v>
      </c>
      <c r="S158" s="3">
        <v>4527.7759999999998</v>
      </c>
      <c r="T158">
        <v>249.66</v>
      </c>
      <c r="U158">
        <v>1994.5920000000001</v>
      </c>
    </row>
    <row r="159" spans="1:21" x14ac:dyDescent="0.35">
      <c r="A159" s="3" t="s">
        <v>277</v>
      </c>
      <c r="B159" s="3">
        <v>1157</v>
      </c>
      <c r="C159">
        <v>10</v>
      </c>
      <c r="D159">
        <v>10</v>
      </c>
      <c r="E159">
        <v>2024</v>
      </c>
      <c r="F159" s="4">
        <f t="shared" si="2"/>
        <v>45575</v>
      </c>
      <c r="G159" s="3" t="s">
        <v>278</v>
      </c>
      <c r="H159" s="3">
        <v>36</v>
      </c>
      <c r="I159" s="3" t="s">
        <v>32</v>
      </c>
      <c r="J159" s="3" t="s">
        <v>33</v>
      </c>
      <c r="K159" s="3" t="s">
        <v>47</v>
      </c>
      <c r="L159" s="3" t="s">
        <v>64</v>
      </c>
      <c r="M159" s="3">
        <v>175.16</v>
      </c>
      <c r="N159" s="3">
        <v>4</v>
      </c>
      <c r="O159" s="3">
        <v>0</v>
      </c>
      <c r="P159" s="3" t="s">
        <v>654</v>
      </c>
      <c r="Q159" s="3"/>
      <c r="R159" s="3">
        <v>7</v>
      </c>
      <c r="S159" s="3">
        <v>700.64</v>
      </c>
      <c r="T159">
        <v>237.654</v>
      </c>
      <c r="U159">
        <v>1118.4065000000001</v>
      </c>
    </row>
    <row r="160" spans="1:21" x14ac:dyDescent="0.35">
      <c r="A160" s="3" t="s">
        <v>279</v>
      </c>
      <c r="B160" s="3">
        <v>1158</v>
      </c>
      <c r="C160">
        <v>6</v>
      </c>
      <c r="D160">
        <v>3</v>
      </c>
      <c r="E160">
        <v>2024</v>
      </c>
      <c r="F160" s="4">
        <f t="shared" si="2"/>
        <v>45357</v>
      </c>
      <c r="G160" s="3" t="s">
        <v>83</v>
      </c>
      <c r="H160" s="3">
        <v>37</v>
      </c>
      <c r="I160" s="3" t="s">
        <v>20</v>
      </c>
      <c r="J160" s="3" t="s">
        <v>46</v>
      </c>
      <c r="K160" s="3" t="s">
        <v>47</v>
      </c>
      <c r="L160" s="3" t="s">
        <v>48</v>
      </c>
      <c r="M160" s="3">
        <v>344.18</v>
      </c>
      <c r="N160" s="3">
        <v>2</v>
      </c>
      <c r="O160" s="3">
        <v>5</v>
      </c>
      <c r="P160" s="3" t="s">
        <v>24</v>
      </c>
      <c r="Q160" s="3">
        <v>1</v>
      </c>
      <c r="R160" s="3">
        <v>2</v>
      </c>
      <c r="S160" s="3">
        <v>653.94200000000001</v>
      </c>
      <c r="T160">
        <v>4641.4799999999996</v>
      </c>
      <c r="U160">
        <v>797.17600000000004</v>
      </c>
    </row>
    <row r="161" spans="1:21" x14ac:dyDescent="0.35">
      <c r="A161" s="3" t="s">
        <v>280</v>
      </c>
      <c r="B161" s="3">
        <v>1159</v>
      </c>
      <c r="C161">
        <v>18</v>
      </c>
      <c r="D161">
        <v>6</v>
      </c>
      <c r="E161">
        <v>2024</v>
      </c>
      <c r="F161" s="4">
        <f t="shared" si="2"/>
        <v>45461</v>
      </c>
      <c r="G161" s="3" t="s">
        <v>130</v>
      </c>
      <c r="H161" s="3">
        <v>35</v>
      </c>
      <c r="I161" s="3" t="s">
        <v>32</v>
      </c>
      <c r="J161" s="3" t="s">
        <v>46</v>
      </c>
      <c r="K161" s="3" t="s">
        <v>38</v>
      </c>
      <c r="L161" s="3" t="s">
        <v>48</v>
      </c>
      <c r="M161" s="3">
        <v>485.6</v>
      </c>
      <c r="N161" s="3">
        <v>3</v>
      </c>
      <c r="O161" s="3">
        <v>5</v>
      </c>
      <c r="P161" s="3" t="s">
        <v>24</v>
      </c>
      <c r="Q161" s="3">
        <v>4</v>
      </c>
      <c r="R161" s="3">
        <v>1</v>
      </c>
      <c r="S161" s="3">
        <v>1383.96</v>
      </c>
      <c r="T161">
        <v>1356.2</v>
      </c>
      <c r="U161">
        <v>1881.252</v>
      </c>
    </row>
    <row r="162" spans="1:21" x14ac:dyDescent="0.35">
      <c r="A162" s="3" t="s">
        <v>281</v>
      </c>
      <c r="B162" s="3">
        <v>1160</v>
      </c>
      <c r="C162">
        <v>14</v>
      </c>
      <c r="D162">
        <v>2</v>
      </c>
      <c r="E162">
        <v>2024</v>
      </c>
      <c r="F162" s="4">
        <f t="shared" si="2"/>
        <v>45336</v>
      </c>
      <c r="G162" s="3" t="s">
        <v>104</v>
      </c>
      <c r="H162" s="3">
        <v>58</v>
      </c>
      <c r="I162" s="3" t="s">
        <v>32</v>
      </c>
      <c r="J162" s="3" t="s">
        <v>27</v>
      </c>
      <c r="K162" s="3" t="s">
        <v>22</v>
      </c>
      <c r="L162" s="3" t="s">
        <v>125</v>
      </c>
      <c r="M162" s="3">
        <v>517.76</v>
      </c>
      <c r="N162" s="3">
        <v>3</v>
      </c>
      <c r="O162" s="3">
        <v>20</v>
      </c>
      <c r="P162" s="3" t="s">
        <v>29</v>
      </c>
      <c r="Q162" s="3">
        <v>3</v>
      </c>
      <c r="R162" s="3">
        <v>1</v>
      </c>
      <c r="S162" s="3">
        <v>1242.624</v>
      </c>
      <c r="T162">
        <v>687.66399999999999</v>
      </c>
      <c r="U162">
        <v>1849.8240000000001</v>
      </c>
    </row>
    <row r="163" spans="1:21" x14ac:dyDescent="0.35">
      <c r="A163" s="3" t="s">
        <v>282</v>
      </c>
      <c r="B163" s="3">
        <v>1161</v>
      </c>
      <c r="C163">
        <v>2</v>
      </c>
      <c r="D163">
        <v>3</v>
      </c>
      <c r="E163">
        <v>2024</v>
      </c>
      <c r="F163" s="4">
        <f t="shared" si="2"/>
        <v>45353</v>
      </c>
      <c r="G163" s="3" t="s">
        <v>264</v>
      </c>
      <c r="H163" s="3">
        <v>31</v>
      </c>
      <c r="I163" s="3" t="s">
        <v>32</v>
      </c>
      <c r="J163" s="3" t="s">
        <v>27</v>
      </c>
      <c r="K163" s="3" t="s">
        <v>34</v>
      </c>
      <c r="L163" s="3" t="s">
        <v>125</v>
      </c>
      <c r="M163" s="3">
        <v>505</v>
      </c>
      <c r="N163" s="3">
        <v>4</v>
      </c>
      <c r="O163" s="3">
        <v>15</v>
      </c>
      <c r="P163" s="3" t="s">
        <v>653</v>
      </c>
      <c r="Q163" s="3">
        <v>3</v>
      </c>
      <c r="R163" s="3">
        <v>1</v>
      </c>
      <c r="S163" s="3">
        <v>1717</v>
      </c>
      <c r="T163">
        <v>1903.365</v>
      </c>
      <c r="U163">
        <v>1829.88</v>
      </c>
    </row>
    <row r="164" spans="1:21" x14ac:dyDescent="0.35">
      <c r="A164" s="3" t="s">
        <v>283</v>
      </c>
      <c r="B164" s="3">
        <v>1162</v>
      </c>
      <c r="C164">
        <v>13</v>
      </c>
      <c r="D164">
        <v>5</v>
      </c>
      <c r="E164">
        <v>2024</v>
      </c>
      <c r="F164" s="4">
        <f t="shared" si="2"/>
        <v>45425</v>
      </c>
      <c r="G164" s="3" t="s">
        <v>162</v>
      </c>
      <c r="H164" s="3">
        <v>32</v>
      </c>
      <c r="I164" s="3" t="s">
        <v>32</v>
      </c>
      <c r="J164" s="3" t="s">
        <v>51</v>
      </c>
      <c r="K164" s="3" t="s">
        <v>47</v>
      </c>
      <c r="L164" s="3" t="s">
        <v>23</v>
      </c>
      <c r="M164" s="3">
        <v>1090.98</v>
      </c>
      <c r="N164" s="3">
        <v>4</v>
      </c>
      <c r="O164" s="3">
        <v>0</v>
      </c>
      <c r="P164" s="3" t="s">
        <v>653</v>
      </c>
      <c r="Q164" s="3">
        <v>2</v>
      </c>
      <c r="R164" s="3">
        <v>5</v>
      </c>
      <c r="S164" s="3">
        <v>4363.92</v>
      </c>
      <c r="T164">
        <v>737</v>
      </c>
      <c r="U164">
        <v>318.58</v>
      </c>
    </row>
    <row r="165" spans="1:21" x14ac:dyDescent="0.35">
      <c r="A165" s="3" t="s">
        <v>284</v>
      </c>
      <c r="B165" s="3">
        <v>1163</v>
      </c>
      <c r="C165">
        <v>10</v>
      </c>
      <c r="D165">
        <v>10</v>
      </c>
      <c r="E165">
        <v>2024</v>
      </c>
      <c r="F165" s="4">
        <f t="shared" si="2"/>
        <v>45575</v>
      </c>
      <c r="G165" s="3" t="s">
        <v>285</v>
      </c>
      <c r="H165" s="3">
        <v>48</v>
      </c>
      <c r="I165" s="3" t="s">
        <v>32</v>
      </c>
      <c r="J165" s="3" t="s">
        <v>46</v>
      </c>
      <c r="K165" s="3" t="s">
        <v>38</v>
      </c>
      <c r="L165" s="3" t="s">
        <v>28</v>
      </c>
      <c r="M165" s="3">
        <v>862.56</v>
      </c>
      <c r="N165" s="3">
        <v>2</v>
      </c>
      <c r="O165" s="3">
        <v>20</v>
      </c>
      <c r="P165" s="3" t="s">
        <v>24</v>
      </c>
      <c r="Q165" s="3">
        <v>1</v>
      </c>
      <c r="R165" s="3">
        <v>7</v>
      </c>
      <c r="S165" s="3">
        <v>1380.096</v>
      </c>
      <c r="T165">
        <v>543.97</v>
      </c>
      <c r="U165">
        <v>2709.3494999999998</v>
      </c>
    </row>
    <row r="166" spans="1:21" x14ac:dyDescent="0.35">
      <c r="A166" s="3" t="s">
        <v>286</v>
      </c>
      <c r="B166" s="3">
        <v>1164</v>
      </c>
      <c r="C166">
        <v>28</v>
      </c>
      <c r="D166">
        <v>1</v>
      </c>
      <c r="E166">
        <v>2024</v>
      </c>
      <c r="F166" s="4">
        <f t="shared" si="2"/>
        <v>45319</v>
      </c>
      <c r="G166" s="3" t="s">
        <v>287</v>
      </c>
      <c r="H166" s="3">
        <v>18</v>
      </c>
      <c r="I166" s="3" t="s">
        <v>32</v>
      </c>
      <c r="J166" s="3" t="s">
        <v>21</v>
      </c>
      <c r="K166" s="3" t="s">
        <v>47</v>
      </c>
      <c r="L166" s="3" t="s">
        <v>28</v>
      </c>
      <c r="M166" s="3">
        <v>737.33</v>
      </c>
      <c r="N166" s="3">
        <v>1</v>
      </c>
      <c r="O166" s="3">
        <v>5</v>
      </c>
      <c r="P166" s="3" t="s">
        <v>24</v>
      </c>
      <c r="Q166" s="3">
        <v>4</v>
      </c>
      <c r="R166" s="3">
        <v>2</v>
      </c>
      <c r="S166" s="3">
        <v>700.46349999999995</v>
      </c>
      <c r="T166">
        <v>2029.46</v>
      </c>
      <c r="U166">
        <v>1400.001</v>
      </c>
    </row>
    <row r="167" spans="1:21" x14ac:dyDescent="0.35">
      <c r="A167" s="3" t="s">
        <v>288</v>
      </c>
      <c r="B167" s="3">
        <v>1165</v>
      </c>
      <c r="C167">
        <v>17</v>
      </c>
      <c r="D167">
        <v>4</v>
      </c>
      <c r="E167">
        <v>2024</v>
      </c>
      <c r="F167" s="4">
        <f t="shared" si="2"/>
        <v>45399</v>
      </c>
      <c r="G167" s="3" t="s">
        <v>289</v>
      </c>
      <c r="H167" s="3">
        <v>20</v>
      </c>
      <c r="I167" s="3" t="s">
        <v>20</v>
      </c>
      <c r="J167" s="3" t="s">
        <v>33</v>
      </c>
      <c r="K167" s="3" t="s">
        <v>34</v>
      </c>
      <c r="L167" s="3" t="s">
        <v>28</v>
      </c>
      <c r="M167" s="3">
        <v>385.06</v>
      </c>
      <c r="N167" s="3">
        <v>1</v>
      </c>
      <c r="O167" s="3">
        <v>5</v>
      </c>
      <c r="P167" s="3" t="s">
        <v>654</v>
      </c>
      <c r="Q167" s="3">
        <v>1</v>
      </c>
      <c r="R167" s="3">
        <v>8</v>
      </c>
      <c r="S167" s="3">
        <v>365.80700000000002</v>
      </c>
      <c r="T167">
        <v>4235.08</v>
      </c>
      <c r="U167">
        <v>2164.2330000000002</v>
      </c>
    </row>
    <row r="168" spans="1:21" x14ac:dyDescent="0.35">
      <c r="A168" s="3" t="s">
        <v>290</v>
      </c>
      <c r="B168" s="3">
        <v>1166</v>
      </c>
      <c r="C168">
        <v>13</v>
      </c>
      <c r="D168">
        <v>2</v>
      </c>
      <c r="E168">
        <v>2024</v>
      </c>
      <c r="F168" s="4">
        <f t="shared" si="2"/>
        <v>45335</v>
      </c>
      <c r="G168" s="3" t="s">
        <v>291</v>
      </c>
      <c r="H168" s="3">
        <v>33</v>
      </c>
      <c r="I168" s="3" t="s">
        <v>20</v>
      </c>
      <c r="J168" s="3" t="s">
        <v>27</v>
      </c>
      <c r="K168" s="3" t="s">
        <v>34</v>
      </c>
      <c r="L168" s="3" t="s">
        <v>23</v>
      </c>
      <c r="M168" s="3">
        <v>992.07</v>
      </c>
      <c r="N168" s="3">
        <v>3</v>
      </c>
      <c r="O168" s="3">
        <v>15</v>
      </c>
      <c r="P168" s="3" t="s">
        <v>29</v>
      </c>
      <c r="Q168" s="3">
        <v>5</v>
      </c>
      <c r="R168" s="3">
        <v>4</v>
      </c>
      <c r="S168" s="3">
        <v>2529.7784999999999</v>
      </c>
      <c r="T168">
        <v>1569.078</v>
      </c>
      <c r="U168">
        <v>136.19200000000001</v>
      </c>
    </row>
    <row r="169" spans="1:21" x14ac:dyDescent="0.35">
      <c r="A169" s="3" t="s">
        <v>292</v>
      </c>
      <c r="B169" s="3">
        <v>1167</v>
      </c>
      <c r="C169">
        <v>5</v>
      </c>
      <c r="D169">
        <v>12</v>
      </c>
      <c r="E169">
        <v>2024</v>
      </c>
      <c r="F169" s="4">
        <f t="shared" si="2"/>
        <v>45631</v>
      </c>
      <c r="G169" s="3" t="s">
        <v>225</v>
      </c>
      <c r="H169" s="3">
        <v>40</v>
      </c>
      <c r="I169" s="3" t="s">
        <v>32</v>
      </c>
      <c r="J169" s="3" t="s">
        <v>33</v>
      </c>
      <c r="K169" s="3" t="s">
        <v>41</v>
      </c>
      <c r="L169" s="3" t="s">
        <v>42</v>
      </c>
      <c r="M169" s="3">
        <v>1146.97</v>
      </c>
      <c r="N169" s="3">
        <v>2</v>
      </c>
      <c r="O169" s="3">
        <v>0</v>
      </c>
      <c r="P169" s="3" t="s">
        <v>29</v>
      </c>
      <c r="Q169" s="3"/>
      <c r="R169" s="3">
        <v>3</v>
      </c>
      <c r="S169" s="3">
        <v>2293.94</v>
      </c>
      <c r="T169">
        <v>1858.3720000000001</v>
      </c>
      <c r="U169">
        <v>789.93449999999996</v>
      </c>
    </row>
    <row r="170" spans="1:21" x14ac:dyDescent="0.35">
      <c r="A170" s="3" t="s">
        <v>293</v>
      </c>
      <c r="B170" s="3">
        <v>1168</v>
      </c>
      <c r="C170">
        <v>12</v>
      </c>
      <c r="D170">
        <v>10</v>
      </c>
      <c r="E170">
        <v>2024</v>
      </c>
      <c r="F170" s="4">
        <f t="shared" si="2"/>
        <v>45577</v>
      </c>
      <c r="G170" s="3" t="s">
        <v>169</v>
      </c>
      <c r="H170" s="3">
        <v>28</v>
      </c>
      <c r="I170" s="3" t="s">
        <v>32</v>
      </c>
      <c r="J170" s="3" t="s">
        <v>33</v>
      </c>
      <c r="K170" s="3" t="s">
        <v>38</v>
      </c>
      <c r="L170" s="3" t="s">
        <v>48</v>
      </c>
      <c r="M170" s="3">
        <v>989.01</v>
      </c>
      <c r="N170" s="3">
        <v>4</v>
      </c>
      <c r="O170" s="3">
        <v>0</v>
      </c>
      <c r="P170" s="3" t="s">
        <v>24</v>
      </c>
      <c r="Q170" s="3">
        <v>1</v>
      </c>
      <c r="R170" s="3">
        <v>8</v>
      </c>
      <c r="S170" s="3">
        <v>3956.04</v>
      </c>
      <c r="T170">
        <v>1103.98</v>
      </c>
      <c r="U170">
        <v>2225.6145000000001</v>
      </c>
    </row>
    <row r="171" spans="1:21" x14ac:dyDescent="0.35">
      <c r="A171" s="3" t="s">
        <v>294</v>
      </c>
      <c r="B171" s="3">
        <v>1169</v>
      </c>
      <c r="C171">
        <v>26</v>
      </c>
      <c r="D171">
        <v>11</v>
      </c>
      <c r="E171">
        <v>2024</v>
      </c>
      <c r="F171" s="4">
        <f t="shared" si="2"/>
        <v>45622</v>
      </c>
      <c r="G171" s="3" t="s">
        <v>54</v>
      </c>
      <c r="H171" s="3">
        <v>29</v>
      </c>
      <c r="I171" s="3" t="s">
        <v>20</v>
      </c>
      <c r="J171" s="3" t="s">
        <v>51</v>
      </c>
      <c r="K171" s="3" t="s">
        <v>34</v>
      </c>
      <c r="L171" s="3" t="s">
        <v>64</v>
      </c>
      <c r="M171" s="3">
        <v>21.85</v>
      </c>
      <c r="N171" s="3">
        <v>3</v>
      </c>
      <c r="O171" s="3">
        <v>10</v>
      </c>
      <c r="P171" s="3" t="s">
        <v>654</v>
      </c>
      <c r="Q171" s="3">
        <v>1</v>
      </c>
      <c r="R171" s="3">
        <v>2</v>
      </c>
      <c r="S171" s="3">
        <v>58.994999999999997</v>
      </c>
      <c r="T171">
        <v>139.33600000000001</v>
      </c>
      <c r="U171">
        <v>837.19</v>
      </c>
    </row>
    <row r="172" spans="1:21" x14ac:dyDescent="0.35">
      <c r="A172" s="3" t="s">
        <v>295</v>
      </c>
      <c r="B172" s="3">
        <v>1170</v>
      </c>
      <c r="C172">
        <v>7</v>
      </c>
      <c r="D172">
        <v>5</v>
      </c>
      <c r="E172">
        <v>2024</v>
      </c>
      <c r="F172" s="4">
        <f t="shared" si="2"/>
        <v>45419</v>
      </c>
      <c r="G172" s="3" t="s">
        <v>113</v>
      </c>
      <c r="H172" s="3">
        <v>27</v>
      </c>
      <c r="I172" s="3" t="s">
        <v>32</v>
      </c>
      <c r="J172" s="3" t="s">
        <v>46</v>
      </c>
      <c r="K172" s="3" t="s">
        <v>41</v>
      </c>
      <c r="L172" s="3" t="s">
        <v>35</v>
      </c>
      <c r="M172" s="3">
        <v>770.95</v>
      </c>
      <c r="N172" s="3">
        <v>2</v>
      </c>
      <c r="O172" s="3">
        <v>0</v>
      </c>
      <c r="P172" s="3" t="s">
        <v>654</v>
      </c>
      <c r="Q172" s="3">
        <v>3</v>
      </c>
      <c r="R172" s="3">
        <v>3</v>
      </c>
      <c r="S172" s="3">
        <v>1541.9</v>
      </c>
      <c r="T172">
        <v>809.88</v>
      </c>
      <c r="U172">
        <v>428.71199999999999</v>
      </c>
    </row>
    <row r="173" spans="1:21" x14ac:dyDescent="0.35">
      <c r="A173" s="3" t="s">
        <v>296</v>
      </c>
      <c r="B173" s="3">
        <v>1171</v>
      </c>
      <c r="C173">
        <v>13</v>
      </c>
      <c r="D173">
        <v>12</v>
      </c>
      <c r="E173">
        <v>2024</v>
      </c>
      <c r="F173" s="4">
        <f t="shared" si="2"/>
        <v>45639</v>
      </c>
      <c r="G173" s="3" t="s">
        <v>61</v>
      </c>
      <c r="H173" s="3">
        <v>49</v>
      </c>
      <c r="I173" s="3" t="s">
        <v>32</v>
      </c>
      <c r="J173" s="3" t="s">
        <v>27</v>
      </c>
      <c r="K173" s="3" t="s">
        <v>41</v>
      </c>
      <c r="L173" s="3" t="s">
        <v>48</v>
      </c>
      <c r="M173" s="3">
        <v>80.34</v>
      </c>
      <c r="N173" s="3">
        <v>1</v>
      </c>
      <c r="O173" s="3">
        <v>15</v>
      </c>
      <c r="P173" s="3" t="s">
        <v>653</v>
      </c>
      <c r="Q173" s="3"/>
      <c r="R173" s="3">
        <v>3</v>
      </c>
      <c r="S173" s="3">
        <v>68.289000000000001</v>
      </c>
      <c r="T173">
        <v>310.86900000000003</v>
      </c>
      <c r="U173">
        <v>1194.528</v>
      </c>
    </row>
    <row r="174" spans="1:21" x14ac:dyDescent="0.35">
      <c r="A174" s="3" t="s">
        <v>297</v>
      </c>
      <c r="B174" s="3">
        <v>1172</v>
      </c>
      <c r="C174">
        <v>18</v>
      </c>
      <c r="D174">
        <v>8</v>
      </c>
      <c r="E174">
        <v>2024</v>
      </c>
      <c r="F174" s="4">
        <f t="shared" si="2"/>
        <v>45522</v>
      </c>
      <c r="G174" s="3" t="s">
        <v>89</v>
      </c>
      <c r="H174" s="3">
        <v>33</v>
      </c>
      <c r="I174" s="3" t="s">
        <v>32</v>
      </c>
      <c r="J174" s="3" t="s">
        <v>33</v>
      </c>
      <c r="K174" s="3" t="s">
        <v>47</v>
      </c>
      <c r="L174" s="3" t="s">
        <v>125</v>
      </c>
      <c r="M174" s="3">
        <v>323.98</v>
      </c>
      <c r="N174" s="3">
        <v>2</v>
      </c>
      <c r="O174" s="3">
        <v>10</v>
      </c>
      <c r="P174" s="3" t="s">
        <v>653</v>
      </c>
      <c r="Q174" s="3">
        <v>4</v>
      </c>
      <c r="R174" s="3">
        <v>1</v>
      </c>
      <c r="S174" s="3">
        <v>583.16399999999999</v>
      </c>
      <c r="T174">
        <v>4535.88</v>
      </c>
      <c r="U174">
        <v>920.77800000000002</v>
      </c>
    </row>
    <row r="175" spans="1:21" x14ac:dyDescent="0.35">
      <c r="A175" s="3" t="s">
        <v>298</v>
      </c>
      <c r="B175" s="3">
        <v>1173</v>
      </c>
      <c r="C175">
        <v>8</v>
      </c>
      <c r="D175">
        <v>7</v>
      </c>
      <c r="E175">
        <v>2024</v>
      </c>
      <c r="F175" s="4">
        <f t="shared" si="2"/>
        <v>45481</v>
      </c>
      <c r="G175" s="3" t="s">
        <v>299</v>
      </c>
      <c r="H175" s="3">
        <v>25</v>
      </c>
      <c r="I175" s="3" t="s">
        <v>20</v>
      </c>
      <c r="J175" s="3" t="s">
        <v>27</v>
      </c>
      <c r="K175" s="3" t="s">
        <v>47</v>
      </c>
      <c r="L175" s="3" t="s">
        <v>96</v>
      </c>
      <c r="M175" s="3">
        <v>90.24</v>
      </c>
      <c r="N175" s="3">
        <v>1</v>
      </c>
      <c r="O175" s="3">
        <v>10</v>
      </c>
      <c r="P175" s="3" t="s">
        <v>654</v>
      </c>
      <c r="Q175" s="3">
        <v>1</v>
      </c>
      <c r="R175" s="3">
        <v>6</v>
      </c>
      <c r="S175" s="3">
        <v>81.215999999999994</v>
      </c>
      <c r="T175">
        <v>625.85599999999999</v>
      </c>
      <c r="U175">
        <v>697.88</v>
      </c>
    </row>
    <row r="176" spans="1:21" x14ac:dyDescent="0.35">
      <c r="A176" s="3" t="s">
        <v>300</v>
      </c>
      <c r="B176" s="3">
        <v>1174</v>
      </c>
      <c r="C176">
        <v>12</v>
      </c>
      <c r="D176">
        <v>8</v>
      </c>
      <c r="E176">
        <v>2024</v>
      </c>
      <c r="F176" s="4">
        <f t="shared" si="2"/>
        <v>45516</v>
      </c>
      <c r="G176" s="3" t="s">
        <v>233</v>
      </c>
      <c r="H176" s="3">
        <v>55</v>
      </c>
      <c r="I176" s="3" t="s">
        <v>32</v>
      </c>
      <c r="J176" s="3" t="s">
        <v>21</v>
      </c>
      <c r="K176" s="3" t="s">
        <v>41</v>
      </c>
      <c r="L176" s="3" t="s">
        <v>79</v>
      </c>
      <c r="M176" s="3">
        <v>732.48</v>
      </c>
      <c r="N176" s="3">
        <v>2</v>
      </c>
      <c r="O176" s="3">
        <v>5</v>
      </c>
      <c r="P176" s="3" t="s">
        <v>653</v>
      </c>
      <c r="Q176" s="3">
        <v>3</v>
      </c>
      <c r="R176" s="3">
        <v>2</v>
      </c>
      <c r="S176" s="3">
        <v>1391.712</v>
      </c>
      <c r="T176">
        <v>962.13199999999995</v>
      </c>
      <c r="U176">
        <v>765.59550000000002</v>
      </c>
    </row>
    <row r="177" spans="1:21" x14ac:dyDescent="0.35">
      <c r="A177" s="3" t="s">
        <v>301</v>
      </c>
      <c r="B177" s="3">
        <v>1175</v>
      </c>
      <c r="C177">
        <v>9</v>
      </c>
      <c r="D177">
        <v>10</v>
      </c>
      <c r="E177">
        <v>2024</v>
      </c>
      <c r="F177" s="4">
        <f t="shared" si="2"/>
        <v>45574</v>
      </c>
      <c r="G177" s="3" t="s">
        <v>154</v>
      </c>
      <c r="H177" s="3">
        <v>29</v>
      </c>
      <c r="I177" s="3" t="s">
        <v>20</v>
      </c>
      <c r="J177" s="3" t="s">
        <v>51</v>
      </c>
      <c r="K177" s="3" t="s">
        <v>47</v>
      </c>
      <c r="L177" s="3" t="s">
        <v>23</v>
      </c>
      <c r="M177" s="3">
        <v>830.18</v>
      </c>
      <c r="N177" s="3">
        <v>3</v>
      </c>
      <c r="O177" s="3">
        <v>5</v>
      </c>
      <c r="P177" s="3" t="s">
        <v>24</v>
      </c>
      <c r="Q177" s="3">
        <v>2</v>
      </c>
      <c r="R177" s="3">
        <v>1</v>
      </c>
      <c r="S177" s="3">
        <v>2366.0129999999999</v>
      </c>
      <c r="T177">
        <v>2826.1680000000001</v>
      </c>
      <c r="U177">
        <v>30.46</v>
      </c>
    </row>
    <row r="178" spans="1:21" x14ac:dyDescent="0.35">
      <c r="A178" s="3" t="s">
        <v>302</v>
      </c>
      <c r="B178" s="3">
        <v>1176</v>
      </c>
      <c r="C178">
        <v>30</v>
      </c>
      <c r="D178">
        <v>4</v>
      </c>
      <c r="E178">
        <v>2024</v>
      </c>
      <c r="F178" s="4">
        <f t="shared" si="2"/>
        <v>45412</v>
      </c>
      <c r="G178" s="3" t="s">
        <v>104</v>
      </c>
      <c r="H178" s="3">
        <v>41</v>
      </c>
      <c r="I178" s="3" t="s">
        <v>32</v>
      </c>
      <c r="J178" s="3" t="s">
        <v>21</v>
      </c>
      <c r="K178" s="3" t="s">
        <v>34</v>
      </c>
      <c r="L178" s="3" t="s">
        <v>55</v>
      </c>
      <c r="M178" s="3">
        <v>155.1</v>
      </c>
      <c r="N178" s="3">
        <v>1</v>
      </c>
      <c r="O178" s="3">
        <v>0</v>
      </c>
      <c r="P178" s="3" t="s">
        <v>654</v>
      </c>
      <c r="Q178" s="3"/>
      <c r="R178" s="3">
        <v>2</v>
      </c>
      <c r="S178" s="3">
        <v>155.1</v>
      </c>
      <c r="T178">
        <v>1594.134</v>
      </c>
      <c r="U178">
        <v>1964.76</v>
      </c>
    </row>
    <row r="179" spans="1:21" x14ac:dyDescent="0.35">
      <c r="A179" s="3" t="s">
        <v>303</v>
      </c>
      <c r="B179" s="3">
        <v>1177</v>
      </c>
      <c r="C179">
        <v>25</v>
      </c>
      <c r="D179">
        <v>4</v>
      </c>
      <c r="E179">
        <v>2024</v>
      </c>
      <c r="F179" s="4">
        <f t="shared" si="2"/>
        <v>45407</v>
      </c>
      <c r="G179" s="3" t="s">
        <v>85</v>
      </c>
      <c r="H179" s="3">
        <v>45</v>
      </c>
      <c r="I179" s="3" t="s">
        <v>20</v>
      </c>
      <c r="J179" s="3" t="s">
        <v>27</v>
      </c>
      <c r="K179" s="3" t="s">
        <v>22</v>
      </c>
      <c r="L179" s="3" t="s">
        <v>96</v>
      </c>
      <c r="M179" s="3">
        <v>472.93</v>
      </c>
      <c r="N179" s="3">
        <v>3</v>
      </c>
      <c r="O179" s="3">
        <v>10</v>
      </c>
      <c r="P179" s="3" t="s">
        <v>653</v>
      </c>
      <c r="Q179" s="3">
        <v>3</v>
      </c>
      <c r="R179" s="3">
        <v>6</v>
      </c>
      <c r="S179" s="3">
        <v>1276.9110000000001</v>
      </c>
      <c r="T179">
        <v>2429.98</v>
      </c>
      <c r="U179">
        <v>1596.144</v>
      </c>
    </row>
    <row r="180" spans="1:21" x14ac:dyDescent="0.35">
      <c r="A180" s="3" t="s">
        <v>304</v>
      </c>
      <c r="B180" s="3">
        <v>1178</v>
      </c>
      <c r="C180">
        <v>20</v>
      </c>
      <c r="D180">
        <v>8</v>
      </c>
      <c r="E180">
        <v>2024</v>
      </c>
      <c r="F180" s="4">
        <f t="shared" si="2"/>
        <v>45524</v>
      </c>
      <c r="G180" s="3" t="s">
        <v>156</v>
      </c>
      <c r="H180" s="3">
        <v>25</v>
      </c>
      <c r="I180" s="3" t="s">
        <v>20</v>
      </c>
      <c r="J180" s="3" t="s">
        <v>27</v>
      </c>
      <c r="K180" s="3" t="s">
        <v>34</v>
      </c>
      <c r="L180" s="3" t="s">
        <v>35</v>
      </c>
      <c r="M180" s="3">
        <v>558.36</v>
      </c>
      <c r="N180" s="3">
        <v>3</v>
      </c>
      <c r="O180" s="3">
        <v>5</v>
      </c>
      <c r="P180" s="3" t="s">
        <v>29</v>
      </c>
      <c r="Q180" s="3">
        <v>3</v>
      </c>
      <c r="R180" s="3">
        <v>4</v>
      </c>
      <c r="S180" s="3">
        <v>1591.326</v>
      </c>
      <c r="T180">
        <v>925.78</v>
      </c>
      <c r="U180">
        <v>33.201000000000001</v>
      </c>
    </row>
    <row r="181" spans="1:21" x14ac:dyDescent="0.35">
      <c r="A181" s="3" t="s">
        <v>305</v>
      </c>
      <c r="B181" s="3">
        <v>1179</v>
      </c>
      <c r="C181">
        <v>15</v>
      </c>
      <c r="D181">
        <v>9</v>
      </c>
      <c r="E181">
        <v>2024</v>
      </c>
      <c r="F181" s="4">
        <f t="shared" si="2"/>
        <v>45550</v>
      </c>
      <c r="G181" s="3" t="s">
        <v>107</v>
      </c>
      <c r="H181" s="3">
        <v>45</v>
      </c>
      <c r="I181" s="3" t="s">
        <v>32</v>
      </c>
      <c r="J181" s="3" t="s">
        <v>46</v>
      </c>
      <c r="K181" s="3" t="s">
        <v>41</v>
      </c>
      <c r="L181" s="3" t="s">
        <v>28</v>
      </c>
      <c r="M181" s="3">
        <v>455.48</v>
      </c>
      <c r="N181" s="3">
        <v>1</v>
      </c>
      <c r="O181" s="3">
        <v>15</v>
      </c>
      <c r="P181" s="3" t="s">
        <v>654</v>
      </c>
      <c r="Q181" s="3">
        <v>3</v>
      </c>
      <c r="R181" s="3">
        <v>6</v>
      </c>
      <c r="S181" s="3">
        <v>387.15800000000002</v>
      </c>
      <c r="T181">
        <v>987.24</v>
      </c>
      <c r="U181">
        <v>3575.04</v>
      </c>
    </row>
    <row r="182" spans="1:21" x14ac:dyDescent="0.35">
      <c r="A182" s="3" t="s">
        <v>306</v>
      </c>
      <c r="B182" s="3">
        <v>1180</v>
      </c>
      <c r="C182">
        <v>24</v>
      </c>
      <c r="D182">
        <v>12</v>
      </c>
      <c r="E182">
        <v>2024</v>
      </c>
      <c r="F182" s="4">
        <f t="shared" si="2"/>
        <v>45650</v>
      </c>
      <c r="G182" s="3" t="s">
        <v>109</v>
      </c>
      <c r="H182" s="3">
        <v>53</v>
      </c>
      <c r="I182" s="3" t="s">
        <v>20</v>
      </c>
      <c r="J182" s="3" t="s">
        <v>33</v>
      </c>
      <c r="K182" s="3" t="s">
        <v>41</v>
      </c>
      <c r="L182" s="3" t="s">
        <v>125</v>
      </c>
      <c r="M182" s="3">
        <v>162.81</v>
      </c>
      <c r="N182" s="3">
        <v>1</v>
      </c>
      <c r="O182" s="3">
        <v>5</v>
      </c>
      <c r="P182" s="3" t="s">
        <v>654</v>
      </c>
      <c r="Q182" s="3">
        <v>1</v>
      </c>
      <c r="R182" s="3">
        <v>9</v>
      </c>
      <c r="S182" s="3">
        <v>154.6695</v>
      </c>
      <c r="T182">
        <v>1923.008</v>
      </c>
      <c r="U182">
        <v>3454.3519999999999</v>
      </c>
    </row>
    <row r="183" spans="1:21" x14ac:dyDescent="0.35">
      <c r="A183" s="3" t="s">
        <v>307</v>
      </c>
      <c r="B183" s="3">
        <v>1181</v>
      </c>
      <c r="C183">
        <v>16</v>
      </c>
      <c r="D183">
        <v>7</v>
      </c>
      <c r="E183">
        <v>2024</v>
      </c>
      <c r="F183" s="4">
        <f t="shared" si="2"/>
        <v>45489</v>
      </c>
      <c r="G183" s="3" t="s">
        <v>91</v>
      </c>
      <c r="H183" s="3">
        <v>43</v>
      </c>
      <c r="I183" s="3" t="s">
        <v>32</v>
      </c>
      <c r="J183" s="3" t="s">
        <v>33</v>
      </c>
      <c r="K183" s="3" t="s">
        <v>34</v>
      </c>
      <c r="L183" s="3" t="s">
        <v>125</v>
      </c>
      <c r="M183" s="3">
        <v>514.36</v>
      </c>
      <c r="N183" s="3">
        <v>4</v>
      </c>
      <c r="O183" s="3">
        <v>5</v>
      </c>
      <c r="P183" s="3" t="s">
        <v>29</v>
      </c>
      <c r="Q183" s="3">
        <v>1</v>
      </c>
      <c r="R183" s="3">
        <v>8</v>
      </c>
      <c r="S183" s="3">
        <v>1954.568</v>
      </c>
      <c r="T183">
        <v>1682.856</v>
      </c>
      <c r="U183">
        <v>927.33</v>
      </c>
    </row>
    <row r="184" spans="1:21" x14ac:dyDescent="0.35">
      <c r="A184" s="3" t="s">
        <v>308</v>
      </c>
      <c r="B184" s="3">
        <v>1182</v>
      </c>
      <c r="C184">
        <v>16</v>
      </c>
      <c r="D184">
        <v>5</v>
      </c>
      <c r="E184">
        <v>2024</v>
      </c>
      <c r="F184" s="4">
        <f t="shared" si="2"/>
        <v>45428</v>
      </c>
      <c r="G184" s="3" t="s">
        <v>76</v>
      </c>
      <c r="H184" s="3">
        <v>25</v>
      </c>
      <c r="I184" s="3" t="s">
        <v>20</v>
      </c>
      <c r="J184" s="3" t="s">
        <v>21</v>
      </c>
      <c r="K184" s="3" t="s">
        <v>47</v>
      </c>
      <c r="L184" s="3" t="s">
        <v>125</v>
      </c>
      <c r="M184" s="3">
        <v>906.39</v>
      </c>
      <c r="N184" s="3">
        <v>4</v>
      </c>
      <c r="O184" s="3">
        <v>10</v>
      </c>
      <c r="P184" s="3" t="s">
        <v>24</v>
      </c>
      <c r="Q184" s="3">
        <v>2</v>
      </c>
      <c r="R184" s="3">
        <v>1</v>
      </c>
      <c r="S184" s="3">
        <v>3263.0039999999999</v>
      </c>
      <c r="T184">
        <v>2082.7600000000002</v>
      </c>
      <c r="U184">
        <v>199.28</v>
      </c>
    </row>
    <row r="185" spans="1:21" x14ac:dyDescent="0.35">
      <c r="A185" s="3" t="s">
        <v>309</v>
      </c>
      <c r="B185" s="3">
        <v>1183</v>
      </c>
      <c r="C185">
        <v>13</v>
      </c>
      <c r="D185">
        <v>11</v>
      </c>
      <c r="E185">
        <v>2024</v>
      </c>
      <c r="F185" s="4">
        <f t="shared" si="2"/>
        <v>45609</v>
      </c>
      <c r="G185" s="3" t="s">
        <v>310</v>
      </c>
      <c r="H185" s="3">
        <v>45</v>
      </c>
      <c r="I185" s="3" t="s">
        <v>32</v>
      </c>
      <c r="J185" s="3" t="s">
        <v>51</v>
      </c>
      <c r="K185" s="3" t="s">
        <v>47</v>
      </c>
      <c r="L185" s="3" t="s">
        <v>28</v>
      </c>
      <c r="M185" s="3">
        <v>103.79</v>
      </c>
      <c r="N185" s="3">
        <v>4</v>
      </c>
      <c r="O185" s="3">
        <v>10</v>
      </c>
      <c r="P185" s="3" t="s">
        <v>29</v>
      </c>
      <c r="Q185" s="3">
        <v>5</v>
      </c>
      <c r="R185" s="3">
        <v>8</v>
      </c>
      <c r="S185" s="3">
        <v>373.64400000000001</v>
      </c>
      <c r="T185">
        <v>1277.4224999999999</v>
      </c>
      <c r="U185">
        <v>476.32</v>
      </c>
    </row>
    <row r="186" spans="1:21" x14ac:dyDescent="0.35">
      <c r="A186" s="3" t="s">
        <v>311</v>
      </c>
      <c r="B186" s="3">
        <v>1184</v>
      </c>
      <c r="C186">
        <v>13</v>
      </c>
      <c r="D186">
        <v>6</v>
      </c>
      <c r="E186">
        <v>2024</v>
      </c>
      <c r="F186" s="4">
        <f t="shared" si="2"/>
        <v>45456</v>
      </c>
      <c r="G186" s="3" t="s">
        <v>169</v>
      </c>
      <c r="H186" s="3">
        <v>45</v>
      </c>
      <c r="I186" s="3" t="s">
        <v>32</v>
      </c>
      <c r="J186" s="3" t="s">
        <v>33</v>
      </c>
      <c r="K186" s="3" t="s">
        <v>41</v>
      </c>
      <c r="L186" s="3" t="s">
        <v>55</v>
      </c>
      <c r="M186" s="3">
        <v>114.61</v>
      </c>
      <c r="N186" s="3">
        <v>3</v>
      </c>
      <c r="O186" s="3">
        <v>20</v>
      </c>
      <c r="P186" s="3" t="s">
        <v>654</v>
      </c>
      <c r="Q186" s="3">
        <v>5</v>
      </c>
      <c r="R186" s="3">
        <v>9</v>
      </c>
      <c r="S186" s="3">
        <v>275.06400000000002</v>
      </c>
      <c r="T186">
        <v>876.03300000000002</v>
      </c>
      <c r="U186">
        <v>851.53</v>
      </c>
    </row>
    <row r="187" spans="1:21" x14ac:dyDescent="0.35">
      <c r="A187" s="3" t="s">
        <v>312</v>
      </c>
      <c r="B187" s="3">
        <v>1185</v>
      </c>
      <c r="C187">
        <v>12</v>
      </c>
      <c r="D187">
        <v>8</v>
      </c>
      <c r="E187">
        <v>2024</v>
      </c>
      <c r="F187" s="4">
        <f t="shared" si="2"/>
        <v>45516</v>
      </c>
      <c r="G187" s="3" t="s">
        <v>19</v>
      </c>
      <c r="H187" s="3">
        <v>54</v>
      </c>
      <c r="I187" s="3" t="s">
        <v>20</v>
      </c>
      <c r="J187" s="3" t="s">
        <v>46</v>
      </c>
      <c r="K187" s="3" t="s">
        <v>38</v>
      </c>
      <c r="L187" s="3" t="s">
        <v>23</v>
      </c>
      <c r="M187" s="3">
        <v>438.63</v>
      </c>
      <c r="N187" s="3">
        <v>3</v>
      </c>
      <c r="O187" s="3">
        <v>15</v>
      </c>
      <c r="P187" s="3" t="s">
        <v>24</v>
      </c>
      <c r="Q187" s="3">
        <v>5</v>
      </c>
      <c r="R187" s="3">
        <v>6</v>
      </c>
      <c r="S187" s="3">
        <v>1118.5065</v>
      </c>
      <c r="T187">
        <v>3674.0479999999998</v>
      </c>
      <c r="U187">
        <v>400.31200000000001</v>
      </c>
    </row>
    <row r="188" spans="1:21" x14ac:dyDescent="0.35">
      <c r="A188" s="3" t="s">
        <v>313</v>
      </c>
      <c r="B188" s="3">
        <v>1186</v>
      </c>
      <c r="C188">
        <v>2</v>
      </c>
      <c r="D188">
        <v>11</v>
      </c>
      <c r="E188">
        <v>2024</v>
      </c>
      <c r="F188" s="4">
        <f t="shared" si="2"/>
        <v>45598</v>
      </c>
      <c r="G188" s="3" t="s">
        <v>152</v>
      </c>
      <c r="H188" s="3">
        <v>58</v>
      </c>
      <c r="I188" s="3" t="s">
        <v>32</v>
      </c>
      <c r="J188" s="3" t="s">
        <v>21</v>
      </c>
      <c r="K188" s="3" t="s">
        <v>47</v>
      </c>
      <c r="L188" s="3" t="s">
        <v>96</v>
      </c>
      <c r="M188" s="3">
        <v>1131.24</v>
      </c>
      <c r="N188" s="3">
        <v>4</v>
      </c>
      <c r="O188" s="3">
        <v>10</v>
      </c>
      <c r="P188" s="3" t="s">
        <v>653</v>
      </c>
      <c r="Q188" s="3"/>
      <c r="R188" s="3">
        <v>5</v>
      </c>
      <c r="S188" s="3">
        <v>4072.4639999999999</v>
      </c>
      <c r="T188">
        <v>218.07599999999999</v>
      </c>
      <c r="U188">
        <v>391.56</v>
      </c>
    </row>
    <row r="189" spans="1:21" x14ac:dyDescent="0.35">
      <c r="A189" s="3" t="s">
        <v>314</v>
      </c>
      <c r="B189" s="3">
        <v>1187</v>
      </c>
      <c r="C189">
        <v>21</v>
      </c>
      <c r="D189">
        <v>8</v>
      </c>
      <c r="E189">
        <v>2024</v>
      </c>
      <c r="F189" s="4">
        <f t="shared" si="2"/>
        <v>45525</v>
      </c>
      <c r="G189" s="3" t="s">
        <v>315</v>
      </c>
      <c r="H189" s="3">
        <v>53</v>
      </c>
      <c r="I189" s="3" t="s">
        <v>32</v>
      </c>
      <c r="J189" s="3" t="s">
        <v>21</v>
      </c>
      <c r="K189" s="3" t="s">
        <v>34</v>
      </c>
      <c r="L189" s="3" t="s">
        <v>28</v>
      </c>
      <c r="M189" s="3">
        <v>808.92</v>
      </c>
      <c r="N189" s="3">
        <v>3</v>
      </c>
      <c r="O189" s="3">
        <v>0</v>
      </c>
      <c r="P189" s="3" t="s">
        <v>653</v>
      </c>
      <c r="Q189" s="3"/>
      <c r="R189" s="3">
        <v>6</v>
      </c>
      <c r="S189" s="3">
        <v>2426.7600000000002</v>
      </c>
      <c r="T189">
        <v>134.03700000000001</v>
      </c>
      <c r="U189">
        <v>1381.152</v>
      </c>
    </row>
    <row r="190" spans="1:21" x14ac:dyDescent="0.35">
      <c r="A190" s="3" t="s">
        <v>316</v>
      </c>
      <c r="B190" s="3">
        <v>1188</v>
      </c>
      <c r="C190">
        <v>20</v>
      </c>
      <c r="D190">
        <v>6</v>
      </c>
      <c r="E190">
        <v>2024</v>
      </c>
      <c r="F190" s="4">
        <f t="shared" si="2"/>
        <v>45463</v>
      </c>
      <c r="G190" s="3" t="s">
        <v>122</v>
      </c>
      <c r="H190" s="3">
        <v>44</v>
      </c>
      <c r="I190" s="3" t="s">
        <v>20</v>
      </c>
      <c r="J190" s="3" t="s">
        <v>46</v>
      </c>
      <c r="K190" s="3" t="s">
        <v>47</v>
      </c>
      <c r="L190" s="3" t="s">
        <v>35</v>
      </c>
      <c r="M190" s="3">
        <v>820.83</v>
      </c>
      <c r="N190" s="3">
        <v>3</v>
      </c>
      <c r="O190" s="3">
        <v>15</v>
      </c>
      <c r="P190" s="3" t="s">
        <v>653</v>
      </c>
      <c r="Q190" s="3">
        <v>2</v>
      </c>
      <c r="R190" s="3">
        <v>6</v>
      </c>
      <c r="S190" s="3">
        <v>2093.1165000000001</v>
      </c>
      <c r="T190">
        <v>815.53599999999994</v>
      </c>
      <c r="U190">
        <v>2902.5884999999998</v>
      </c>
    </row>
    <row r="191" spans="1:21" x14ac:dyDescent="0.35">
      <c r="A191" s="3" t="s">
        <v>317</v>
      </c>
      <c r="B191" s="3">
        <v>1189</v>
      </c>
      <c r="C191">
        <v>31</v>
      </c>
      <c r="D191">
        <v>5</v>
      </c>
      <c r="E191">
        <v>2024</v>
      </c>
      <c r="F191" s="4">
        <f t="shared" si="2"/>
        <v>45443</v>
      </c>
      <c r="G191" s="3" t="s">
        <v>233</v>
      </c>
      <c r="H191" s="3">
        <v>34</v>
      </c>
      <c r="I191" s="3" t="s">
        <v>32</v>
      </c>
      <c r="J191" s="3" t="s">
        <v>51</v>
      </c>
      <c r="K191" s="3" t="s">
        <v>34</v>
      </c>
      <c r="L191" s="3" t="s">
        <v>23</v>
      </c>
      <c r="M191" s="3">
        <v>447.07</v>
      </c>
      <c r="N191" s="3">
        <v>1</v>
      </c>
      <c r="O191" s="3">
        <v>15</v>
      </c>
      <c r="P191" s="3" t="s">
        <v>654</v>
      </c>
      <c r="Q191" s="3"/>
      <c r="R191" s="3">
        <v>9</v>
      </c>
      <c r="S191" s="3">
        <v>380.0095</v>
      </c>
      <c r="T191">
        <v>2147.6999999999998</v>
      </c>
      <c r="U191">
        <v>336.14100000000002</v>
      </c>
    </row>
    <row r="192" spans="1:21" x14ac:dyDescent="0.35">
      <c r="A192" s="3" t="s">
        <v>318</v>
      </c>
      <c r="B192" s="3">
        <v>1190</v>
      </c>
      <c r="C192">
        <v>10</v>
      </c>
      <c r="D192">
        <v>11</v>
      </c>
      <c r="E192">
        <v>2024</v>
      </c>
      <c r="F192" s="4">
        <f t="shared" si="2"/>
        <v>45606</v>
      </c>
      <c r="G192" s="3" t="s">
        <v>289</v>
      </c>
      <c r="H192" s="3">
        <v>26</v>
      </c>
      <c r="I192" s="3" t="s">
        <v>32</v>
      </c>
      <c r="J192" s="3" t="s">
        <v>46</v>
      </c>
      <c r="K192" s="3" t="s">
        <v>41</v>
      </c>
      <c r="L192" s="3" t="s">
        <v>35</v>
      </c>
      <c r="M192" s="3">
        <v>720.52</v>
      </c>
      <c r="N192" s="3">
        <v>1</v>
      </c>
      <c r="O192" s="3">
        <v>10</v>
      </c>
      <c r="P192" s="3" t="s">
        <v>29</v>
      </c>
      <c r="Q192" s="3">
        <v>5</v>
      </c>
      <c r="R192" s="3">
        <v>4</v>
      </c>
      <c r="S192" s="3">
        <v>648.46799999999996</v>
      </c>
      <c r="T192">
        <v>1120.1579999999999</v>
      </c>
      <c r="U192">
        <v>210.33</v>
      </c>
    </row>
    <row r="193" spans="1:21" x14ac:dyDescent="0.35">
      <c r="A193" s="3" t="s">
        <v>319</v>
      </c>
      <c r="B193" s="3">
        <v>1191</v>
      </c>
      <c r="C193">
        <v>8</v>
      </c>
      <c r="D193">
        <v>6</v>
      </c>
      <c r="E193">
        <v>2024</v>
      </c>
      <c r="F193" s="4">
        <f t="shared" si="2"/>
        <v>45451</v>
      </c>
      <c r="G193" s="3" t="s">
        <v>54</v>
      </c>
      <c r="H193" s="3">
        <v>50</v>
      </c>
      <c r="I193" s="3" t="s">
        <v>20</v>
      </c>
      <c r="J193" s="3" t="s">
        <v>51</v>
      </c>
      <c r="K193" s="3" t="s">
        <v>47</v>
      </c>
      <c r="L193" s="3" t="s">
        <v>23</v>
      </c>
      <c r="M193" s="3">
        <v>31.95</v>
      </c>
      <c r="N193" s="3">
        <v>3</v>
      </c>
      <c r="O193" s="3">
        <v>15</v>
      </c>
      <c r="P193" s="3" t="s">
        <v>24</v>
      </c>
      <c r="Q193" s="3">
        <v>5</v>
      </c>
      <c r="R193" s="3">
        <v>2</v>
      </c>
      <c r="S193" s="3">
        <v>81.472499999999997</v>
      </c>
      <c r="T193">
        <v>1113.1300000000001</v>
      </c>
      <c r="U193">
        <v>549.66600000000005</v>
      </c>
    </row>
    <row r="194" spans="1:21" x14ac:dyDescent="0.35">
      <c r="A194" s="3" t="s">
        <v>320</v>
      </c>
      <c r="B194" s="3">
        <v>1192</v>
      </c>
      <c r="C194">
        <v>5</v>
      </c>
      <c r="D194">
        <v>4</v>
      </c>
      <c r="E194">
        <v>2024</v>
      </c>
      <c r="F194" s="4">
        <f t="shared" si="2"/>
        <v>45387</v>
      </c>
      <c r="G194" s="3" t="s">
        <v>61</v>
      </c>
      <c r="H194" s="3">
        <v>37</v>
      </c>
      <c r="I194" s="3" t="s">
        <v>20</v>
      </c>
      <c r="J194" s="3" t="s">
        <v>46</v>
      </c>
      <c r="K194" s="3" t="s">
        <v>34</v>
      </c>
      <c r="L194" s="3" t="s">
        <v>55</v>
      </c>
      <c r="M194" s="3">
        <v>770.59</v>
      </c>
      <c r="N194" s="3">
        <v>4</v>
      </c>
      <c r="O194" s="3">
        <v>10</v>
      </c>
      <c r="P194" s="3" t="s">
        <v>653</v>
      </c>
      <c r="Q194" s="3">
        <v>3</v>
      </c>
      <c r="R194" s="3">
        <v>9</v>
      </c>
      <c r="S194" s="3">
        <v>2774.1239999999998</v>
      </c>
      <c r="T194">
        <v>466.14400000000001</v>
      </c>
      <c r="U194">
        <v>1623.2840000000001</v>
      </c>
    </row>
    <row r="195" spans="1:21" x14ac:dyDescent="0.35">
      <c r="A195" s="3" t="s">
        <v>321</v>
      </c>
      <c r="B195" s="3">
        <v>1193</v>
      </c>
      <c r="C195">
        <v>20</v>
      </c>
      <c r="D195">
        <v>8</v>
      </c>
      <c r="E195">
        <v>2024</v>
      </c>
      <c r="F195" s="4">
        <f t="shared" ref="F195:F258" si="3">DATE(E195,D195,C195)</f>
        <v>45524</v>
      </c>
      <c r="G195" s="3" t="s">
        <v>158</v>
      </c>
      <c r="H195" s="3">
        <v>30</v>
      </c>
      <c r="I195" s="3" t="s">
        <v>32</v>
      </c>
      <c r="J195" s="3" t="s">
        <v>46</v>
      </c>
      <c r="K195" s="3" t="s">
        <v>41</v>
      </c>
      <c r="L195" s="3" t="s">
        <v>79</v>
      </c>
      <c r="M195" s="3">
        <v>1097.68</v>
      </c>
      <c r="N195" s="3">
        <v>2</v>
      </c>
      <c r="O195" s="3">
        <v>5</v>
      </c>
      <c r="P195" s="3" t="s">
        <v>24</v>
      </c>
      <c r="Q195" s="3"/>
      <c r="R195" s="3">
        <v>2</v>
      </c>
      <c r="S195" s="3">
        <v>2085.5920000000001</v>
      </c>
      <c r="T195">
        <v>1507.152</v>
      </c>
      <c r="U195">
        <v>134.75899999999999</v>
      </c>
    </row>
    <row r="196" spans="1:21" x14ac:dyDescent="0.35">
      <c r="A196" s="3" t="s">
        <v>322</v>
      </c>
      <c r="B196" s="3">
        <v>1194</v>
      </c>
      <c r="C196">
        <v>28</v>
      </c>
      <c r="D196">
        <v>6</v>
      </c>
      <c r="E196">
        <v>2024</v>
      </c>
      <c r="F196" s="4">
        <f t="shared" si="3"/>
        <v>45471</v>
      </c>
      <c r="G196" s="3" t="s">
        <v>169</v>
      </c>
      <c r="H196" s="3"/>
      <c r="I196" s="3" t="s">
        <v>32</v>
      </c>
      <c r="J196" s="3" t="s">
        <v>655</v>
      </c>
      <c r="K196" s="3" t="s">
        <v>38</v>
      </c>
      <c r="L196" s="3" t="s">
        <v>35</v>
      </c>
      <c r="M196" s="3">
        <v>742.84</v>
      </c>
      <c r="N196" s="3">
        <v>4</v>
      </c>
      <c r="O196" s="3">
        <v>20</v>
      </c>
      <c r="P196" s="3" t="s">
        <v>654</v>
      </c>
      <c r="Q196" s="3"/>
      <c r="R196" s="3">
        <v>9</v>
      </c>
      <c r="S196" s="3">
        <v>2377.0880000000002</v>
      </c>
      <c r="T196">
        <v>3276.9014999999999</v>
      </c>
      <c r="U196">
        <v>421.08150000000001</v>
      </c>
    </row>
    <row r="197" spans="1:21" x14ac:dyDescent="0.35">
      <c r="A197" s="3" t="s">
        <v>323</v>
      </c>
      <c r="B197" s="3">
        <v>1195</v>
      </c>
      <c r="C197">
        <v>22</v>
      </c>
      <c r="D197">
        <v>4</v>
      </c>
      <c r="E197">
        <v>2024</v>
      </c>
      <c r="F197" s="4">
        <f t="shared" si="3"/>
        <v>45404</v>
      </c>
      <c r="G197" s="3" t="s">
        <v>324</v>
      </c>
      <c r="H197" s="3">
        <v>46</v>
      </c>
      <c r="I197" s="3" t="s">
        <v>20</v>
      </c>
      <c r="J197" s="3" t="s">
        <v>21</v>
      </c>
      <c r="K197" s="3" t="s">
        <v>34</v>
      </c>
      <c r="L197" s="3" t="s">
        <v>28</v>
      </c>
      <c r="M197" s="3">
        <v>1050.96</v>
      </c>
      <c r="N197" s="3">
        <v>2</v>
      </c>
      <c r="O197" s="3">
        <v>5</v>
      </c>
      <c r="P197" s="3" t="s">
        <v>653</v>
      </c>
      <c r="Q197" s="3">
        <v>1</v>
      </c>
      <c r="R197" s="3">
        <v>2</v>
      </c>
      <c r="S197" s="3">
        <v>1996.8240000000001</v>
      </c>
      <c r="T197">
        <v>3592.29</v>
      </c>
      <c r="U197">
        <v>350.01799999999997</v>
      </c>
    </row>
    <row r="198" spans="1:21" x14ac:dyDescent="0.35">
      <c r="A198" s="3" t="s">
        <v>325</v>
      </c>
      <c r="B198" s="3">
        <v>1196</v>
      </c>
      <c r="C198">
        <v>13</v>
      </c>
      <c r="D198">
        <v>11</v>
      </c>
      <c r="E198">
        <v>2024</v>
      </c>
      <c r="F198" s="4">
        <f t="shared" si="3"/>
        <v>45609</v>
      </c>
      <c r="G198" s="3" t="s">
        <v>76</v>
      </c>
      <c r="H198" s="3">
        <v>30</v>
      </c>
      <c r="I198" s="3" t="s">
        <v>20</v>
      </c>
      <c r="J198" s="3" t="s">
        <v>46</v>
      </c>
      <c r="K198" s="3" t="s">
        <v>38</v>
      </c>
      <c r="L198" s="3" t="s">
        <v>23</v>
      </c>
      <c r="M198" s="3">
        <v>874.29</v>
      </c>
      <c r="N198" s="3">
        <v>4</v>
      </c>
      <c r="O198" s="3">
        <v>10</v>
      </c>
      <c r="P198" s="3" t="s">
        <v>654</v>
      </c>
      <c r="Q198" s="3">
        <v>3</v>
      </c>
      <c r="R198" s="3">
        <v>8</v>
      </c>
      <c r="S198" s="3">
        <v>3147.444</v>
      </c>
      <c r="T198">
        <v>735.3</v>
      </c>
      <c r="U198">
        <v>4019.364</v>
      </c>
    </row>
    <row r="199" spans="1:21" x14ac:dyDescent="0.35">
      <c r="A199" s="3" t="s">
        <v>326</v>
      </c>
      <c r="B199" s="3">
        <v>1197</v>
      </c>
      <c r="C199">
        <v>21</v>
      </c>
      <c r="D199">
        <v>2</v>
      </c>
      <c r="E199">
        <v>2024</v>
      </c>
      <c r="F199" s="4">
        <f t="shared" si="3"/>
        <v>45343</v>
      </c>
      <c r="G199" s="3" t="s">
        <v>107</v>
      </c>
      <c r="H199" s="3">
        <v>52</v>
      </c>
      <c r="I199" s="3" t="s">
        <v>32</v>
      </c>
      <c r="J199" s="3" t="s">
        <v>46</v>
      </c>
      <c r="K199" s="3" t="s">
        <v>38</v>
      </c>
      <c r="L199" s="3" t="s">
        <v>125</v>
      </c>
      <c r="M199" s="3">
        <v>162.26</v>
      </c>
      <c r="N199" s="3">
        <v>1</v>
      </c>
      <c r="O199" s="3">
        <v>10</v>
      </c>
      <c r="P199" s="3" t="s">
        <v>29</v>
      </c>
      <c r="Q199" s="3">
        <v>3</v>
      </c>
      <c r="R199" s="3">
        <v>9</v>
      </c>
      <c r="S199" s="3">
        <v>146.03399999999999</v>
      </c>
      <c r="T199">
        <v>1425.104</v>
      </c>
      <c r="U199">
        <v>1344.654</v>
      </c>
    </row>
    <row r="200" spans="1:21" x14ac:dyDescent="0.35">
      <c r="A200" s="3" t="s">
        <v>327</v>
      </c>
      <c r="B200" s="3">
        <v>1198</v>
      </c>
      <c r="C200">
        <v>24</v>
      </c>
      <c r="D200">
        <v>9</v>
      </c>
      <c r="E200">
        <v>2024</v>
      </c>
      <c r="F200" s="4">
        <f t="shared" si="3"/>
        <v>45559</v>
      </c>
      <c r="G200" s="3" t="s">
        <v>270</v>
      </c>
      <c r="H200" s="3">
        <v>23</v>
      </c>
      <c r="I200" s="3" t="s">
        <v>20</v>
      </c>
      <c r="J200" s="3" t="s">
        <v>33</v>
      </c>
      <c r="K200" s="3" t="s">
        <v>22</v>
      </c>
      <c r="L200" s="3" t="s">
        <v>48</v>
      </c>
      <c r="M200" s="3">
        <v>1084.8900000000001</v>
      </c>
      <c r="N200" s="3">
        <v>3</v>
      </c>
      <c r="O200" s="3">
        <v>5</v>
      </c>
      <c r="P200" s="3" t="s">
        <v>654</v>
      </c>
      <c r="Q200" s="3">
        <v>3</v>
      </c>
      <c r="R200" s="3">
        <v>9</v>
      </c>
      <c r="S200" s="3">
        <v>3091.9364999999998</v>
      </c>
      <c r="T200">
        <v>903.86099999999999</v>
      </c>
      <c r="U200">
        <v>3703.3139999999999</v>
      </c>
    </row>
    <row r="201" spans="1:21" x14ac:dyDescent="0.35">
      <c r="A201" s="3" t="s">
        <v>328</v>
      </c>
      <c r="B201" s="3">
        <v>1199</v>
      </c>
      <c r="C201">
        <v>21</v>
      </c>
      <c r="D201">
        <v>10</v>
      </c>
      <c r="E201">
        <v>2024</v>
      </c>
      <c r="F201" s="4">
        <f t="shared" si="3"/>
        <v>45586</v>
      </c>
      <c r="G201" s="3" t="s">
        <v>152</v>
      </c>
      <c r="H201" s="3">
        <v>35</v>
      </c>
      <c r="I201" s="3" t="s">
        <v>32</v>
      </c>
      <c r="J201" s="3" t="s">
        <v>21</v>
      </c>
      <c r="K201" s="3" t="s">
        <v>47</v>
      </c>
      <c r="L201" s="3" t="s">
        <v>125</v>
      </c>
      <c r="M201" s="3">
        <v>98.4</v>
      </c>
      <c r="N201" s="3">
        <v>3</v>
      </c>
      <c r="O201" s="3">
        <v>0</v>
      </c>
      <c r="P201" s="3" t="s">
        <v>654</v>
      </c>
      <c r="Q201" s="3">
        <v>1</v>
      </c>
      <c r="R201" s="3">
        <v>9</v>
      </c>
      <c r="S201" s="3">
        <v>295.2</v>
      </c>
      <c r="T201">
        <v>150.84800000000001</v>
      </c>
      <c r="U201">
        <v>860.13</v>
      </c>
    </row>
    <row r="202" spans="1:21" x14ac:dyDescent="0.35">
      <c r="A202" s="3" t="s">
        <v>329</v>
      </c>
      <c r="B202" s="3">
        <v>1200</v>
      </c>
      <c r="C202">
        <v>22</v>
      </c>
      <c r="D202">
        <v>4</v>
      </c>
      <c r="E202">
        <v>2024</v>
      </c>
      <c r="F202" s="4">
        <f t="shared" si="3"/>
        <v>45404</v>
      </c>
      <c r="G202" s="3" t="s">
        <v>83</v>
      </c>
      <c r="H202" s="3">
        <v>22</v>
      </c>
      <c r="I202" s="3" t="s">
        <v>32</v>
      </c>
      <c r="J202" s="3" t="s">
        <v>33</v>
      </c>
      <c r="K202" s="3" t="s">
        <v>34</v>
      </c>
      <c r="L202" s="3" t="s">
        <v>42</v>
      </c>
      <c r="M202" s="3">
        <v>650.08000000000004</v>
      </c>
      <c r="N202" s="3">
        <v>1</v>
      </c>
      <c r="O202" s="3">
        <v>0</v>
      </c>
      <c r="P202" s="3" t="s">
        <v>29</v>
      </c>
      <c r="Q202" s="3">
        <v>5</v>
      </c>
      <c r="R202" s="3">
        <v>2</v>
      </c>
      <c r="S202" s="3">
        <v>650.08000000000004</v>
      </c>
      <c r="T202">
        <v>2032.5540000000001</v>
      </c>
      <c r="U202">
        <v>3103.04</v>
      </c>
    </row>
    <row r="203" spans="1:21" x14ac:dyDescent="0.35">
      <c r="A203" s="3" t="s">
        <v>330</v>
      </c>
      <c r="B203" s="3">
        <v>1201</v>
      </c>
      <c r="C203">
        <v>10</v>
      </c>
      <c r="D203">
        <v>4</v>
      </c>
      <c r="E203">
        <v>2024</v>
      </c>
      <c r="F203" s="4">
        <f t="shared" si="3"/>
        <v>45392</v>
      </c>
      <c r="G203" s="3" t="s">
        <v>145</v>
      </c>
      <c r="H203" s="3">
        <v>42</v>
      </c>
      <c r="I203" s="3" t="s">
        <v>32</v>
      </c>
      <c r="J203" s="3" t="s">
        <v>21</v>
      </c>
      <c r="K203" s="3" t="s">
        <v>38</v>
      </c>
      <c r="L203" s="3" t="s">
        <v>79</v>
      </c>
      <c r="M203" s="3">
        <v>187.72</v>
      </c>
      <c r="N203" s="3">
        <v>2</v>
      </c>
      <c r="O203" s="3">
        <v>0</v>
      </c>
      <c r="P203" s="3" t="s">
        <v>24</v>
      </c>
      <c r="Q203" s="3">
        <v>3</v>
      </c>
      <c r="R203" s="3">
        <v>4</v>
      </c>
      <c r="S203" s="3">
        <v>375.44</v>
      </c>
      <c r="T203">
        <v>1663.2360000000001</v>
      </c>
      <c r="U203">
        <v>627.19000000000005</v>
      </c>
    </row>
    <row r="204" spans="1:21" x14ac:dyDescent="0.35">
      <c r="A204" s="3" t="s">
        <v>331</v>
      </c>
      <c r="B204" s="3">
        <v>1202</v>
      </c>
      <c r="C204">
        <v>22</v>
      </c>
      <c r="D204">
        <v>4</v>
      </c>
      <c r="E204">
        <v>2024</v>
      </c>
      <c r="F204" s="4">
        <f t="shared" si="3"/>
        <v>45404</v>
      </c>
      <c r="G204" s="3" t="s">
        <v>122</v>
      </c>
      <c r="H204" s="3">
        <v>19</v>
      </c>
      <c r="I204" s="3" t="s">
        <v>32</v>
      </c>
      <c r="J204" s="3" t="s">
        <v>33</v>
      </c>
      <c r="K204" s="3" t="s">
        <v>22</v>
      </c>
      <c r="L204" s="3" t="s">
        <v>79</v>
      </c>
      <c r="M204" s="3">
        <v>33.81</v>
      </c>
      <c r="N204" s="3">
        <v>2</v>
      </c>
      <c r="O204" s="3">
        <v>10</v>
      </c>
      <c r="P204" s="3" t="s">
        <v>29</v>
      </c>
      <c r="Q204" s="3">
        <v>2</v>
      </c>
      <c r="R204" s="3">
        <v>7</v>
      </c>
      <c r="S204" s="3">
        <v>60.857999999999997</v>
      </c>
      <c r="T204">
        <v>4072.76</v>
      </c>
      <c r="U204">
        <v>1472.7360000000001</v>
      </c>
    </row>
    <row r="205" spans="1:21" x14ac:dyDescent="0.35">
      <c r="A205" s="3" t="s">
        <v>332</v>
      </c>
      <c r="B205" s="3">
        <v>1203</v>
      </c>
      <c r="C205">
        <v>21</v>
      </c>
      <c r="D205">
        <v>3</v>
      </c>
      <c r="E205">
        <v>2024</v>
      </c>
      <c r="F205" s="4">
        <f t="shared" si="3"/>
        <v>45372</v>
      </c>
      <c r="G205" s="3" t="s">
        <v>216</v>
      </c>
      <c r="H205" s="3">
        <v>27</v>
      </c>
      <c r="I205" s="3" t="s">
        <v>32</v>
      </c>
      <c r="J205" s="3" t="s">
        <v>46</v>
      </c>
      <c r="K205" s="3" t="s">
        <v>41</v>
      </c>
      <c r="L205" s="3" t="s">
        <v>125</v>
      </c>
      <c r="M205" s="3">
        <v>518</v>
      </c>
      <c r="N205" s="3">
        <v>2</v>
      </c>
      <c r="O205" s="3">
        <v>15</v>
      </c>
      <c r="P205" s="3" t="s">
        <v>29</v>
      </c>
      <c r="Q205" s="3">
        <v>3</v>
      </c>
      <c r="R205" s="3">
        <v>2</v>
      </c>
      <c r="S205" s="3">
        <v>880.6</v>
      </c>
      <c r="T205">
        <v>744.05</v>
      </c>
      <c r="U205">
        <v>1568.1555000000001</v>
      </c>
    </row>
    <row r="206" spans="1:21" x14ac:dyDescent="0.35">
      <c r="A206" s="3" t="s">
        <v>333</v>
      </c>
      <c r="B206" s="3">
        <v>1204</v>
      </c>
      <c r="C206">
        <v>5</v>
      </c>
      <c r="D206">
        <v>7</v>
      </c>
      <c r="E206">
        <v>2024</v>
      </c>
      <c r="F206" s="4">
        <f t="shared" si="3"/>
        <v>45478</v>
      </c>
      <c r="G206" s="3" t="s">
        <v>83</v>
      </c>
      <c r="H206" s="3">
        <v>47</v>
      </c>
      <c r="I206" s="3" t="s">
        <v>20</v>
      </c>
      <c r="J206" s="3" t="s">
        <v>46</v>
      </c>
      <c r="K206" s="3" t="s">
        <v>34</v>
      </c>
      <c r="L206" s="3" t="s">
        <v>96</v>
      </c>
      <c r="M206" s="3">
        <v>368.15</v>
      </c>
      <c r="N206" s="3">
        <v>1</v>
      </c>
      <c r="O206" s="3">
        <v>10</v>
      </c>
      <c r="P206" s="3" t="s">
        <v>654</v>
      </c>
      <c r="Q206" s="3">
        <v>4</v>
      </c>
      <c r="R206" s="3">
        <v>1</v>
      </c>
      <c r="S206" s="3">
        <v>331.33499999999998</v>
      </c>
      <c r="T206">
        <v>178.608</v>
      </c>
      <c r="U206">
        <v>2027.2619999999999</v>
      </c>
    </row>
    <row r="207" spans="1:21" x14ac:dyDescent="0.35">
      <c r="A207" s="3" t="s">
        <v>334</v>
      </c>
      <c r="B207" s="3">
        <v>1205</v>
      </c>
      <c r="C207">
        <v>22</v>
      </c>
      <c r="D207">
        <v>4</v>
      </c>
      <c r="E207">
        <v>2024</v>
      </c>
      <c r="F207" s="4">
        <f t="shared" si="3"/>
        <v>45404</v>
      </c>
      <c r="G207" s="3" t="s">
        <v>61</v>
      </c>
      <c r="H207" s="3">
        <v>22</v>
      </c>
      <c r="I207" s="3" t="s">
        <v>20</v>
      </c>
      <c r="J207" s="3" t="s">
        <v>27</v>
      </c>
      <c r="K207" s="3" t="s">
        <v>38</v>
      </c>
      <c r="L207" s="3" t="s">
        <v>55</v>
      </c>
      <c r="M207" s="3">
        <v>593.48</v>
      </c>
      <c r="N207" s="3">
        <v>2</v>
      </c>
      <c r="O207" s="3">
        <v>15</v>
      </c>
      <c r="P207" s="3" t="s">
        <v>24</v>
      </c>
      <c r="Q207" s="3">
        <v>3</v>
      </c>
      <c r="R207" s="3">
        <v>3</v>
      </c>
      <c r="S207" s="3">
        <v>1008.9160000000001</v>
      </c>
      <c r="T207">
        <v>430.29300000000001</v>
      </c>
      <c r="U207">
        <v>1379.9359999999999</v>
      </c>
    </row>
    <row r="208" spans="1:21" x14ac:dyDescent="0.35">
      <c r="A208" s="3" t="s">
        <v>335</v>
      </c>
      <c r="B208" s="3">
        <v>1206</v>
      </c>
      <c r="C208">
        <v>2</v>
      </c>
      <c r="D208">
        <v>1</v>
      </c>
      <c r="E208">
        <v>2024</v>
      </c>
      <c r="F208" s="4">
        <f t="shared" si="3"/>
        <v>45293</v>
      </c>
      <c r="G208" s="3" t="s">
        <v>233</v>
      </c>
      <c r="H208" s="3">
        <v>50</v>
      </c>
      <c r="I208" s="3" t="s">
        <v>20</v>
      </c>
      <c r="J208" s="3" t="s">
        <v>33</v>
      </c>
      <c r="K208" s="3" t="s">
        <v>47</v>
      </c>
      <c r="L208" s="3" t="s">
        <v>35</v>
      </c>
      <c r="M208" s="3">
        <v>701.1</v>
      </c>
      <c r="N208" s="3">
        <v>1</v>
      </c>
      <c r="O208" s="3">
        <v>5</v>
      </c>
      <c r="P208" s="3" t="s">
        <v>653</v>
      </c>
      <c r="Q208" s="3">
        <v>1</v>
      </c>
      <c r="R208" s="3">
        <v>4</v>
      </c>
      <c r="S208" s="3">
        <v>666.04499999999996</v>
      </c>
      <c r="T208">
        <v>1557.952</v>
      </c>
      <c r="U208">
        <v>1075.1199999999999</v>
      </c>
    </row>
    <row r="209" spans="1:21" x14ac:dyDescent="0.35">
      <c r="A209" s="3" t="s">
        <v>336</v>
      </c>
      <c r="B209" s="3">
        <v>1207</v>
      </c>
      <c r="C209">
        <v>9</v>
      </c>
      <c r="D209">
        <v>5</v>
      </c>
      <c r="E209">
        <v>2024</v>
      </c>
      <c r="F209" s="4">
        <f t="shared" si="3"/>
        <v>45421</v>
      </c>
      <c r="G209" s="3" t="s">
        <v>148</v>
      </c>
      <c r="H209" s="3">
        <v>18</v>
      </c>
      <c r="I209" s="3" t="s">
        <v>20</v>
      </c>
      <c r="J209" s="3" t="s">
        <v>51</v>
      </c>
      <c r="K209" s="3" t="s">
        <v>22</v>
      </c>
      <c r="L209" s="3" t="s">
        <v>28</v>
      </c>
      <c r="M209" s="3">
        <v>71.61</v>
      </c>
      <c r="N209" s="3">
        <v>4</v>
      </c>
      <c r="O209" s="3">
        <v>20</v>
      </c>
      <c r="P209" s="3" t="s">
        <v>29</v>
      </c>
      <c r="Q209" s="3"/>
      <c r="R209" s="3">
        <v>8</v>
      </c>
      <c r="S209" s="3">
        <v>229.15199999999999</v>
      </c>
      <c r="T209">
        <v>300.19049999999999</v>
      </c>
      <c r="U209">
        <v>452.61599999999999</v>
      </c>
    </row>
    <row r="210" spans="1:21" x14ac:dyDescent="0.35">
      <c r="A210" s="3" t="s">
        <v>337</v>
      </c>
      <c r="B210" s="3">
        <v>1208</v>
      </c>
      <c r="C210">
        <v>7</v>
      </c>
      <c r="D210">
        <v>8</v>
      </c>
      <c r="E210">
        <v>2024</v>
      </c>
      <c r="F210" s="4">
        <f t="shared" si="3"/>
        <v>45511</v>
      </c>
      <c r="G210" s="3" t="s">
        <v>26</v>
      </c>
      <c r="H210" s="3">
        <v>35</v>
      </c>
      <c r="I210" s="3" t="s">
        <v>32</v>
      </c>
      <c r="J210" s="3" t="s">
        <v>27</v>
      </c>
      <c r="K210" s="3" t="s">
        <v>38</v>
      </c>
      <c r="L210" s="3" t="s">
        <v>79</v>
      </c>
      <c r="M210" s="3">
        <v>165.14</v>
      </c>
      <c r="N210" s="3">
        <v>4</v>
      </c>
      <c r="O210" s="3">
        <v>15</v>
      </c>
      <c r="P210" s="3" t="s">
        <v>24</v>
      </c>
      <c r="Q210" s="3">
        <v>3</v>
      </c>
      <c r="R210" s="3">
        <v>6</v>
      </c>
      <c r="S210" s="3">
        <v>561.476</v>
      </c>
      <c r="T210">
        <v>1147.04</v>
      </c>
      <c r="U210">
        <v>1776.329</v>
      </c>
    </row>
    <row r="211" spans="1:21" x14ac:dyDescent="0.35">
      <c r="A211" s="3" t="s">
        <v>338</v>
      </c>
      <c r="B211" s="3">
        <v>1209</v>
      </c>
      <c r="C211">
        <v>23</v>
      </c>
      <c r="D211">
        <v>2</v>
      </c>
      <c r="E211">
        <v>2024</v>
      </c>
      <c r="F211" s="4">
        <f t="shared" si="3"/>
        <v>45345</v>
      </c>
      <c r="G211" s="3" t="s">
        <v>118</v>
      </c>
      <c r="H211" s="3">
        <v>49</v>
      </c>
      <c r="I211" s="3" t="s">
        <v>32</v>
      </c>
      <c r="J211" s="3" t="s">
        <v>33</v>
      </c>
      <c r="K211" s="3" t="s">
        <v>47</v>
      </c>
      <c r="L211" s="3" t="s">
        <v>125</v>
      </c>
      <c r="M211" s="3">
        <v>679.2</v>
      </c>
      <c r="N211" s="3">
        <v>1</v>
      </c>
      <c r="O211" s="3">
        <v>0</v>
      </c>
      <c r="P211" s="3" t="s">
        <v>29</v>
      </c>
      <c r="Q211" s="3"/>
      <c r="R211" s="3">
        <v>2</v>
      </c>
      <c r="S211" s="3">
        <v>679.2</v>
      </c>
      <c r="T211">
        <v>636.64</v>
      </c>
      <c r="U211">
        <v>1361.04</v>
      </c>
    </row>
    <row r="212" spans="1:21" x14ac:dyDescent="0.35">
      <c r="A212" s="3" t="s">
        <v>339</v>
      </c>
      <c r="B212" s="3">
        <v>1210</v>
      </c>
      <c r="C212">
        <v>8</v>
      </c>
      <c r="D212">
        <v>12</v>
      </c>
      <c r="E212">
        <v>2024</v>
      </c>
      <c r="F212" s="4">
        <f t="shared" si="3"/>
        <v>45634</v>
      </c>
      <c r="G212" s="3" t="s">
        <v>241</v>
      </c>
      <c r="H212" s="3">
        <v>28</v>
      </c>
      <c r="I212" s="3" t="s">
        <v>32</v>
      </c>
      <c r="J212" s="3" t="s">
        <v>33</v>
      </c>
      <c r="K212" s="3" t="s">
        <v>38</v>
      </c>
      <c r="L212" s="3" t="s">
        <v>125</v>
      </c>
      <c r="M212" s="3">
        <v>424.94</v>
      </c>
      <c r="N212" s="3">
        <v>3</v>
      </c>
      <c r="O212" s="3">
        <v>10</v>
      </c>
      <c r="P212" s="3" t="s">
        <v>29</v>
      </c>
      <c r="Q212" s="3">
        <v>4</v>
      </c>
      <c r="R212" s="3">
        <v>9</v>
      </c>
      <c r="S212" s="3">
        <v>1147.338</v>
      </c>
      <c r="T212">
        <v>909.65350000000001</v>
      </c>
      <c r="U212">
        <v>484.88</v>
      </c>
    </row>
    <row r="213" spans="1:21" x14ac:dyDescent="0.35">
      <c r="A213" s="3" t="s">
        <v>340</v>
      </c>
      <c r="B213" s="3">
        <v>1211</v>
      </c>
      <c r="C213">
        <v>11</v>
      </c>
      <c r="D213">
        <v>8</v>
      </c>
      <c r="E213">
        <v>2024</v>
      </c>
      <c r="F213" s="4">
        <f t="shared" si="3"/>
        <v>45515</v>
      </c>
      <c r="G213" s="3" t="s">
        <v>201</v>
      </c>
      <c r="H213" s="3">
        <v>38</v>
      </c>
      <c r="I213" s="3" t="s">
        <v>32</v>
      </c>
      <c r="J213" s="3" t="s">
        <v>27</v>
      </c>
      <c r="K213" s="3" t="s">
        <v>34</v>
      </c>
      <c r="L213" s="3" t="s">
        <v>55</v>
      </c>
      <c r="M213" s="3">
        <v>880.42</v>
      </c>
      <c r="N213" s="3">
        <v>4</v>
      </c>
      <c r="O213" s="3">
        <v>5</v>
      </c>
      <c r="P213" s="3" t="s">
        <v>29</v>
      </c>
      <c r="Q213" s="3">
        <v>2</v>
      </c>
      <c r="R213" s="3">
        <v>2</v>
      </c>
      <c r="S213" s="3">
        <v>3345.596</v>
      </c>
      <c r="T213">
        <v>381.67200000000003</v>
      </c>
      <c r="U213">
        <v>284.35199999999998</v>
      </c>
    </row>
    <row r="214" spans="1:21" x14ac:dyDescent="0.35">
      <c r="A214" s="3" t="s">
        <v>341</v>
      </c>
      <c r="B214" s="3">
        <v>1212</v>
      </c>
      <c r="C214">
        <v>12</v>
      </c>
      <c r="D214">
        <v>8</v>
      </c>
      <c r="E214">
        <v>2024</v>
      </c>
      <c r="F214" s="4">
        <f t="shared" si="3"/>
        <v>45516</v>
      </c>
      <c r="G214" s="3" t="s">
        <v>225</v>
      </c>
      <c r="H214" s="3">
        <v>43</v>
      </c>
      <c r="I214" s="3" t="s">
        <v>20</v>
      </c>
      <c r="J214" s="3" t="s">
        <v>46</v>
      </c>
      <c r="K214" s="3" t="s">
        <v>34</v>
      </c>
      <c r="L214" s="3" t="s">
        <v>55</v>
      </c>
      <c r="M214" s="3">
        <v>789.7</v>
      </c>
      <c r="N214" s="3">
        <v>2</v>
      </c>
      <c r="O214" s="3">
        <v>0</v>
      </c>
      <c r="P214" s="3" t="s">
        <v>29</v>
      </c>
      <c r="Q214" s="3"/>
      <c r="R214" s="3">
        <v>5</v>
      </c>
      <c r="S214" s="3">
        <v>1579.4</v>
      </c>
      <c r="T214">
        <v>294.20999999999998</v>
      </c>
      <c r="U214">
        <v>676.096</v>
      </c>
    </row>
    <row r="215" spans="1:21" x14ac:dyDescent="0.35">
      <c r="A215" s="3" t="s">
        <v>342</v>
      </c>
      <c r="B215" s="3">
        <v>1213</v>
      </c>
      <c r="C215">
        <v>5</v>
      </c>
      <c r="D215">
        <v>5</v>
      </c>
      <c r="E215">
        <v>2024</v>
      </c>
      <c r="F215" s="4">
        <f t="shared" si="3"/>
        <v>45417</v>
      </c>
      <c r="G215" s="3" t="s">
        <v>285</v>
      </c>
      <c r="H215" s="3">
        <v>42</v>
      </c>
      <c r="I215" s="3" t="s">
        <v>32</v>
      </c>
      <c r="J215" s="3" t="s">
        <v>33</v>
      </c>
      <c r="K215" s="3" t="s">
        <v>34</v>
      </c>
      <c r="L215" s="3" t="s">
        <v>64</v>
      </c>
      <c r="M215" s="3">
        <v>1017.81</v>
      </c>
      <c r="N215" s="3">
        <v>1</v>
      </c>
      <c r="O215" s="3">
        <v>5</v>
      </c>
      <c r="P215" s="3" t="s">
        <v>654</v>
      </c>
      <c r="Q215" s="3">
        <v>5</v>
      </c>
      <c r="R215" s="3">
        <v>4</v>
      </c>
      <c r="S215" s="3">
        <v>966.91949999999997</v>
      </c>
      <c r="T215">
        <v>1336.0419999999999</v>
      </c>
      <c r="U215">
        <v>762.88</v>
      </c>
    </row>
    <row r="216" spans="1:21" x14ac:dyDescent="0.35">
      <c r="A216" s="3" t="s">
        <v>343</v>
      </c>
      <c r="B216" s="3">
        <v>1214</v>
      </c>
      <c r="C216">
        <v>9</v>
      </c>
      <c r="D216">
        <v>5</v>
      </c>
      <c r="E216">
        <v>2024</v>
      </c>
      <c r="F216" s="4">
        <f t="shared" si="3"/>
        <v>45421</v>
      </c>
      <c r="G216" s="3" t="s">
        <v>140</v>
      </c>
      <c r="H216" s="3">
        <v>39</v>
      </c>
      <c r="I216" s="3" t="s">
        <v>32</v>
      </c>
      <c r="J216" s="3" t="s">
        <v>46</v>
      </c>
      <c r="K216" s="3" t="s">
        <v>22</v>
      </c>
      <c r="L216" s="3" t="s">
        <v>64</v>
      </c>
      <c r="M216" s="3">
        <v>837.14</v>
      </c>
      <c r="N216" s="3">
        <v>2</v>
      </c>
      <c r="O216" s="3">
        <v>20</v>
      </c>
      <c r="P216" s="3" t="s">
        <v>24</v>
      </c>
      <c r="Q216" s="3">
        <v>3</v>
      </c>
      <c r="R216" s="3">
        <v>7</v>
      </c>
      <c r="S216" s="3">
        <v>1339.424</v>
      </c>
      <c r="T216">
        <v>822.89350000000002</v>
      </c>
      <c r="U216">
        <v>302.79599999999999</v>
      </c>
    </row>
    <row r="217" spans="1:21" x14ac:dyDescent="0.35">
      <c r="A217" s="3" t="s">
        <v>344</v>
      </c>
      <c r="B217" s="3">
        <v>1215</v>
      </c>
      <c r="C217">
        <v>22</v>
      </c>
      <c r="D217">
        <v>2</v>
      </c>
      <c r="E217">
        <v>2024</v>
      </c>
      <c r="F217" s="4">
        <f t="shared" si="3"/>
        <v>45344</v>
      </c>
      <c r="G217" s="3" t="s">
        <v>278</v>
      </c>
      <c r="H217" s="3">
        <v>44</v>
      </c>
      <c r="I217" s="3" t="s">
        <v>20</v>
      </c>
      <c r="J217" s="3" t="s">
        <v>27</v>
      </c>
      <c r="K217" s="3" t="s">
        <v>34</v>
      </c>
      <c r="L217" s="3" t="s">
        <v>96</v>
      </c>
      <c r="M217" s="3">
        <v>527.32000000000005</v>
      </c>
      <c r="N217" s="3">
        <v>2</v>
      </c>
      <c r="O217" s="3">
        <v>10</v>
      </c>
      <c r="P217" s="3" t="s">
        <v>24</v>
      </c>
      <c r="Q217" s="3">
        <v>4</v>
      </c>
      <c r="R217" s="3">
        <v>8</v>
      </c>
      <c r="S217" s="3">
        <v>949.17600000000004</v>
      </c>
      <c r="T217">
        <v>1078.2719999999999</v>
      </c>
      <c r="U217">
        <v>301.16000000000003</v>
      </c>
    </row>
    <row r="218" spans="1:21" x14ac:dyDescent="0.35">
      <c r="A218" s="3" t="s">
        <v>345</v>
      </c>
      <c r="B218" s="3">
        <v>1216</v>
      </c>
      <c r="C218">
        <v>20</v>
      </c>
      <c r="D218">
        <v>6</v>
      </c>
      <c r="E218">
        <v>2024</v>
      </c>
      <c r="F218" s="4">
        <f t="shared" si="3"/>
        <v>45463</v>
      </c>
      <c r="G218" s="3" t="s">
        <v>241</v>
      </c>
      <c r="H218" s="3">
        <v>30</v>
      </c>
      <c r="I218" s="3" t="s">
        <v>20</v>
      </c>
      <c r="J218" s="3" t="s">
        <v>46</v>
      </c>
      <c r="K218" s="3" t="s">
        <v>47</v>
      </c>
      <c r="L218" s="3" t="s">
        <v>96</v>
      </c>
      <c r="M218" s="3">
        <v>814.1</v>
      </c>
      <c r="N218" s="3">
        <v>3</v>
      </c>
      <c r="O218" s="3">
        <v>10</v>
      </c>
      <c r="P218" s="3" t="s">
        <v>24</v>
      </c>
      <c r="Q218" s="3">
        <v>4</v>
      </c>
      <c r="R218" s="3">
        <v>5</v>
      </c>
      <c r="S218" s="3">
        <v>2198.0700000000002</v>
      </c>
      <c r="T218">
        <v>465.76</v>
      </c>
      <c r="U218">
        <v>768.80700000000002</v>
      </c>
    </row>
    <row r="219" spans="1:21" x14ac:dyDescent="0.35">
      <c r="A219" s="3" t="s">
        <v>346</v>
      </c>
      <c r="B219" s="3">
        <v>1217</v>
      </c>
      <c r="C219">
        <v>5</v>
      </c>
      <c r="D219">
        <v>8</v>
      </c>
      <c r="E219">
        <v>2024</v>
      </c>
      <c r="F219" s="4">
        <f t="shared" si="3"/>
        <v>45509</v>
      </c>
      <c r="G219" s="3" t="s">
        <v>216</v>
      </c>
      <c r="H219" s="3">
        <v>50</v>
      </c>
      <c r="I219" s="3" t="s">
        <v>20</v>
      </c>
      <c r="J219" s="3" t="s">
        <v>21</v>
      </c>
      <c r="K219" s="3" t="s">
        <v>38</v>
      </c>
      <c r="L219" s="3" t="s">
        <v>42</v>
      </c>
      <c r="M219" s="3">
        <v>344.95</v>
      </c>
      <c r="N219" s="3">
        <v>2</v>
      </c>
      <c r="O219" s="3">
        <v>20</v>
      </c>
      <c r="P219" s="3" t="s">
        <v>29</v>
      </c>
      <c r="Q219" s="3"/>
      <c r="R219" s="3">
        <v>5</v>
      </c>
      <c r="S219" s="3">
        <v>551.91999999999996</v>
      </c>
      <c r="T219">
        <v>2350.4</v>
      </c>
      <c r="U219">
        <v>840.375</v>
      </c>
    </row>
    <row r="220" spans="1:21" x14ac:dyDescent="0.35">
      <c r="A220" s="3" t="s">
        <v>347</v>
      </c>
      <c r="B220" s="3">
        <v>1218</v>
      </c>
      <c r="C220">
        <v>8</v>
      </c>
      <c r="D220">
        <v>6</v>
      </c>
      <c r="E220">
        <v>2024</v>
      </c>
      <c r="F220" s="4">
        <f t="shared" si="3"/>
        <v>45451</v>
      </c>
      <c r="G220" s="3" t="s">
        <v>348</v>
      </c>
      <c r="H220" s="3">
        <v>51</v>
      </c>
      <c r="I220" s="3" t="s">
        <v>20</v>
      </c>
      <c r="J220" s="3" t="s">
        <v>51</v>
      </c>
      <c r="K220" s="3" t="s">
        <v>41</v>
      </c>
      <c r="L220" s="3" t="s">
        <v>96</v>
      </c>
      <c r="M220" s="3">
        <v>381.45</v>
      </c>
      <c r="N220" s="3">
        <v>3</v>
      </c>
      <c r="O220" s="3">
        <v>10</v>
      </c>
      <c r="P220" s="3" t="s">
        <v>654</v>
      </c>
      <c r="Q220" s="3">
        <v>2</v>
      </c>
      <c r="R220" s="3">
        <v>2</v>
      </c>
      <c r="S220" s="3">
        <v>1029.915</v>
      </c>
      <c r="T220">
        <v>1976.7239999999999</v>
      </c>
      <c r="U220">
        <v>314.56</v>
      </c>
    </row>
    <row r="221" spans="1:21" x14ac:dyDescent="0.35">
      <c r="A221" s="3" t="s">
        <v>349</v>
      </c>
      <c r="B221" s="3">
        <v>1219</v>
      </c>
      <c r="C221">
        <v>16</v>
      </c>
      <c r="D221">
        <v>7</v>
      </c>
      <c r="E221">
        <v>2024</v>
      </c>
      <c r="F221" s="4">
        <f t="shared" si="3"/>
        <v>45489</v>
      </c>
      <c r="G221" s="3" t="s">
        <v>289</v>
      </c>
      <c r="H221" s="3">
        <v>58</v>
      </c>
      <c r="I221" s="3" t="s">
        <v>32</v>
      </c>
      <c r="J221" s="3" t="s">
        <v>33</v>
      </c>
      <c r="K221" s="3" t="s">
        <v>47</v>
      </c>
      <c r="L221" s="3" t="s">
        <v>23</v>
      </c>
      <c r="M221" s="3">
        <v>951</v>
      </c>
      <c r="N221" s="3">
        <v>4</v>
      </c>
      <c r="O221" s="3">
        <v>15</v>
      </c>
      <c r="P221" s="3" t="s">
        <v>29</v>
      </c>
      <c r="Q221" s="3">
        <v>1</v>
      </c>
      <c r="R221" s="3">
        <v>8</v>
      </c>
      <c r="S221" s="3">
        <v>3233.4</v>
      </c>
      <c r="T221">
        <v>1193.9939999999999</v>
      </c>
      <c r="U221">
        <v>126.20699999999999</v>
      </c>
    </row>
    <row r="222" spans="1:21" x14ac:dyDescent="0.35">
      <c r="A222" s="3" t="s">
        <v>350</v>
      </c>
      <c r="B222" s="3">
        <v>1220</v>
      </c>
      <c r="C222">
        <v>3</v>
      </c>
      <c r="D222">
        <v>9</v>
      </c>
      <c r="E222">
        <v>2024</v>
      </c>
      <c r="F222" s="4">
        <f t="shared" si="3"/>
        <v>45538</v>
      </c>
      <c r="G222" s="3" t="s">
        <v>156</v>
      </c>
      <c r="H222" s="3">
        <v>52</v>
      </c>
      <c r="I222" s="3" t="s">
        <v>32</v>
      </c>
      <c r="J222" s="3" t="s">
        <v>51</v>
      </c>
      <c r="K222" s="3" t="s">
        <v>47</v>
      </c>
      <c r="L222" s="3" t="s">
        <v>55</v>
      </c>
      <c r="M222" s="3">
        <v>546.78</v>
      </c>
      <c r="N222" s="3">
        <v>1</v>
      </c>
      <c r="O222" s="3">
        <v>5</v>
      </c>
      <c r="P222" s="3" t="s">
        <v>29</v>
      </c>
      <c r="Q222" s="3">
        <v>3</v>
      </c>
      <c r="R222" s="3">
        <v>2</v>
      </c>
      <c r="S222" s="3">
        <v>519.44100000000003</v>
      </c>
      <c r="T222">
        <v>745.19899999999996</v>
      </c>
      <c r="U222">
        <v>993.86249999999995</v>
      </c>
    </row>
    <row r="223" spans="1:21" x14ac:dyDescent="0.35">
      <c r="A223" s="3" t="s">
        <v>351</v>
      </c>
      <c r="B223" s="3">
        <v>1221</v>
      </c>
      <c r="C223">
        <v>19</v>
      </c>
      <c r="D223">
        <v>11</v>
      </c>
      <c r="E223">
        <v>2024</v>
      </c>
      <c r="F223" s="4">
        <f t="shared" si="3"/>
        <v>45615</v>
      </c>
      <c r="G223" s="3" t="s">
        <v>352</v>
      </c>
      <c r="H223" s="3">
        <v>18</v>
      </c>
      <c r="I223" s="3" t="s">
        <v>20</v>
      </c>
      <c r="J223" s="3" t="s">
        <v>46</v>
      </c>
      <c r="K223" s="3" t="s">
        <v>34</v>
      </c>
      <c r="L223" s="3" t="s">
        <v>28</v>
      </c>
      <c r="M223" s="3">
        <v>962.09</v>
      </c>
      <c r="N223" s="3">
        <v>2</v>
      </c>
      <c r="O223" s="3">
        <v>0</v>
      </c>
      <c r="P223" s="3" t="s">
        <v>24</v>
      </c>
      <c r="Q223" s="3">
        <v>4</v>
      </c>
      <c r="R223" s="3">
        <v>6</v>
      </c>
      <c r="S223" s="3">
        <v>1924.18</v>
      </c>
      <c r="T223">
        <v>3205.86</v>
      </c>
      <c r="U223">
        <v>3217.23</v>
      </c>
    </row>
    <row r="224" spans="1:21" x14ac:dyDescent="0.35">
      <c r="A224" s="3" t="s">
        <v>353</v>
      </c>
      <c r="B224" s="3">
        <v>1222</v>
      </c>
      <c r="C224">
        <v>21</v>
      </c>
      <c r="D224">
        <v>7</v>
      </c>
      <c r="E224">
        <v>2024</v>
      </c>
      <c r="F224" s="4">
        <f t="shared" si="3"/>
        <v>45494</v>
      </c>
      <c r="G224" s="3" t="s">
        <v>354</v>
      </c>
      <c r="H224" s="3">
        <v>38</v>
      </c>
      <c r="I224" s="3" t="s">
        <v>32</v>
      </c>
      <c r="J224" s="3" t="s">
        <v>33</v>
      </c>
      <c r="K224" s="3" t="s">
        <v>22</v>
      </c>
      <c r="L224" s="3" t="s">
        <v>23</v>
      </c>
      <c r="M224" s="3">
        <v>990.46</v>
      </c>
      <c r="N224" s="3">
        <v>1</v>
      </c>
      <c r="O224" s="3">
        <v>20</v>
      </c>
      <c r="P224" s="3" t="s">
        <v>29</v>
      </c>
      <c r="Q224" s="3">
        <v>2</v>
      </c>
      <c r="R224" s="3">
        <v>8</v>
      </c>
      <c r="S224" s="3">
        <v>792.36800000000005</v>
      </c>
      <c r="T224">
        <v>1363.0319999999999</v>
      </c>
      <c r="U224">
        <v>425.52</v>
      </c>
    </row>
    <row r="225" spans="1:21" x14ac:dyDescent="0.35">
      <c r="A225" s="3" t="s">
        <v>355</v>
      </c>
      <c r="B225" s="3">
        <v>1223</v>
      </c>
      <c r="C225">
        <v>2</v>
      </c>
      <c r="D225">
        <v>7</v>
      </c>
      <c r="E225">
        <v>2024</v>
      </c>
      <c r="F225" s="4">
        <f t="shared" si="3"/>
        <v>45475</v>
      </c>
      <c r="G225" s="3" t="s">
        <v>102</v>
      </c>
      <c r="H225" s="3">
        <v>23</v>
      </c>
      <c r="I225" s="3" t="s">
        <v>32</v>
      </c>
      <c r="J225" s="3" t="s">
        <v>46</v>
      </c>
      <c r="K225" s="3" t="s">
        <v>38</v>
      </c>
      <c r="L225" s="3" t="s">
        <v>35</v>
      </c>
      <c r="M225" s="3">
        <v>1031.92</v>
      </c>
      <c r="N225" s="3">
        <v>2</v>
      </c>
      <c r="O225" s="3">
        <v>15</v>
      </c>
      <c r="P225" s="3" t="s">
        <v>653</v>
      </c>
      <c r="Q225" s="3">
        <v>5</v>
      </c>
      <c r="R225" s="3">
        <v>6</v>
      </c>
      <c r="S225" s="3">
        <v>1754.2639999999999</v>
      </c>
      <c r="T225">
        <v>335.04</v>
      </c>
      <c r="U225">
        <v>1041.8489999999999</v>
      </c>
    </row>
    <row r="226" spans="1:21" x14ac:dyDescent="0.35">
      <c r="A226" s="3" t="s">
        <v>356</v>
      </c>
      <c r="B226" s="3">
        <v>1224</v>
      </c>
      <c r="C226">
        <v>2</v>
      </c>
      <c r="D226">
        <v>5</v>
      </c>
      <c r="E226">
        <v>2024</v>
      </c>
      <c r="F226" s="4">
        <f t="shared" si="3"/>
        <v>45414</v>
      </c>
      <c r="G226" s="3" t="s">
        <v>167</v>
      </c>
      <c r="H226" s="3">
        <v>45</v>
      </c>
      <c r="I226" s="3" t="s">
        <v>32</v>
      </c>
      <c r="J226" s="3" t="s">
        <v>21</v>
      </c>
      <c r="K226" s="3" t="s">
        <v>22</v>
      </c>
      <c r="L226" s="3" t="s">
        <v>125</v>
      </c>
      <c r="M226" s="3">
        <v>1101.6300000000001</v>
      </c>
      <c r="N226" s="3">
        <v>1</v>
      </c>
      <c r="O226" s="3">
        <v>0</v>
      </c>
      <c r="P226" s="3" t="s">
        <v>29</v>
      </c>
      <c r="Q226" s="3">
        <v>4</v>
      </c>
      <c r="R226" s="3">
        <v>4</v>
      </c>
      <c r="S226" s="3">
        <v>1101.6300000000001</v>
      </c>
      <c r="T226">
        <v>825.49</v>
      </c>
      <c r="U226">
        <v>426.22399999999999</v>
      </c>
    </row>
    <row r="227" spans="1:21" x14ac:dyDescent="0.35">
      <c r="A227" s="3" t="s">
        <v>357</v>
      </c>
      <c r="B227" s="3">
        <v>1225</v>
      </c>
      <c r="C227">
        <v>11</v>
      </c>
      <c r="D227">
        <v>9</v>
      </c>
      <c r="E227">
        <v>2024</v>
      </c>
      <c r="F227" s="4">
        <f t="shared" si="3"/>
        <v>45546</v>
      </c>
      <c r="G227" s="3" t="s">
        <v>358</v>
      </c>
      <c r="H227" s="3">
        <v>34</v>
      </c>
      <c r="I227" s="3" t="s">
        <v>20</v>
      </c>
      <c r="J227" s="3" t="s">
        <v>27</v>
      </c>
      <c r="K227" s="3" t="s">
        <v>38</v>
      </c>
      <c r="L227" s="3" t="s">
        <v>96</v>
      </c>
      <c r="M227" s="3">
        <v>528.55999999999995</v>
      </c>
      <c r="N227" s="3">
        <v>2</v>
      </c>
      <c r="O227" s="3">
        <v>0</v>
      </c>
      <c r="P227" s="3" t="s">
        <v>653</v>
      </c>
      <c r="Q227" s="3">
        <v>2</v>
      </c>
      <c r="R227" s="3">
        <v>4</v>
      </c>
      <c r="S227" s="3">
        <v>1057.1199999999999</v>
      </c>
      <c r="T227">
        <v>290.20600000000002</v>
      </c>
      <c r="U227">
        <v>2990.4479999999999</v>
      </c>
    </row>
    <row r="228" spans="1:21" x14ac:dyDescent="0.35">
      <c r="A228" s="3" t="s">
        <v>359</v>
      </c>
      <c r="B228" s="3">
        <v>1226</v>
      </c>
      <c r="C228">
        <v>20</v>
      </c>
      <c r="D228">
        <v>10</v>
      </c>
      <c r="E228">
        <v>2024</v>
      </c>
      <c r="F228" s="4">
        <f t="shared" si="3"/>
        <v>45585</v>
      </c>
      <c r="G228" s="3" t="s">
        <v>59</v>
      </c>
      <c r="H228" s="3">
        <v>22</v>
      </c>
      <c r="I228" s="3" t="s">
        <v>32</v>
      </c>
      <c r="J228" s="3" t="s">
        <v>33</v>
      </c>
      <c r="K228" s="3" t="s">
        <v>38</v>
      </c>
      <c r="L228" s="3" t="s">
        <v>125</v>
      </c>
      <c r="M228" s="3">
        <v>396.26</v>
      </c>
      <c r="N228" s="3">
        <v>2</v>
      </c>
      <c r="O228" s="3">
        <v>20</v>
      </c>
      <c r="P228" s="3" t="s">
        <v>29</v>
      </c>
      <c r="Q228" s="3">
        <v>1</v>
      </c>
      <c r="R228" s="3">
        <v>6</v>
      </c>
      <c r="S228" s="3">
        <v>634.01599999999996</v>
      </c>
      <c r="T228">
        <v>3169.8879999999999</v>
      </c>
      <c r="U228">
        <v>1527.7760000000001</v>
      </c>
    </row>
    <row r="229" spans="1:21" x14ac:dyDescent="0.35">
      <c r="A229" s="3" t="s">
        <v>360</v>
      </c>
      <c r="B229" s="3">
        <v>1227</v>
      </c>
      <c r="C229">
        <v>6</v>
      </c>
      <c r="D229">
        <v>10</v>
      </c>
      <c r="E229">
        <v>2024</v>
      </c>
      <c r="F229" s="4">
        <f t="shared" si="3"/>
        <v>45571</v>
      </c>
      <c r="G229" s="3" t="s">
        <v>158</v>
      </c>
      <c r="H229" s="3">
        <v>48</v>
      </c>
      <c r="I229" s="3" t="s">
        <v>20</v>
      </c>
      <c r="J229" s="3" t="s">
        <v>21</v>
      </c>
      <c r="K229" s="3" t="s">
        <v>22</v>
      </c>
      <c r="L229" s="3" t="s">
        <v>79</v>
      </c>
      <c r="M229" s="3">
        <v>706.99</v>
      </c>
      <c r="N229" s="3">
        <v>2</v>
      </c>
      <c r="O229" s="3">
        <v>15</v>
      </c>
      <c r="P229" s="3" t="s">
        <v>654</v>
      </c>
      <c r="Q229" s="3">
        <v>1</v>
      </c>
      <c r="R229" s="3">
        <v>4</v>
      </c>
      <c r="S229" s="3">
        <v>1201.883</v>
      </c>
      <c r="T229">
        <v>2906.01</v>
      </c>
      <c r="U229">
        <v>1530.99</v>
      </c>
    </row>
    <row r="230" spans="1:21" x14ac:dyDescent="0.35">
      <c r="A230" s="3" t="s">
        <v>361</v>
      </c>
      <c r="B230" s="3">
        <v>1228</v>
      </c>
      <c r="C230">
        <v>20</v>
      </c>
      <c r="D230">
        <v>11</v>
      </c>
      <c r="E230">
        <v>2024</v>
      </c>
      <c r="F230" s="4">
        <f t="shared" si="3"/>
        <v>45616</v>
      </c>
      <c r="G230" s="3" t="s">
        <v>134</v>
      </c>
      <c r="H230" s="3">
        <v>22</v>
      </c>
      <c r="I230" s="3" t="s">
        <v>32</v>
      </c>
      <c r="J230" s="3" t="s">
        <v>21</v>
      </c>
      <c r="K230" s="3" t="s">
        <v>47</v>
      </c>
      <c r="L230" s="3" t="s">
        <v>42</v>
      </c>
      <c r="M230" s="3">
        <v>457.98</v>
      </c>
      <c r="N230" s="3">
        <v>2</v>
      </c>
      <c r="O230" s="3">
        <v>0</v>
      </c>
      <c r="P230" s="3" t="s">
        <v>654</v>
      </c>
      <c r="Q230" s="3">
        <v>4</v>
      </c>
      <c r="R230" s="3">
        <v>8</v>
      </c>
      <c r="S230" s="3">
        <v>915.96</v>
      </c>
      <c r="T230">
        <v>2028.16</v>
      </c>
      <c r="U230">
        <v>23.892499999999998</v>
      </c>
    </row>
    <row r="231" spans="1:21" x14ac:dyDescent="0.35">
      <c r="A231" s="3" t="s">
        <v>362</v>
      </c>
      <c r="B231" s="3">
        <v>1229</v>
      </c>
      <c r="C231">
        <v>7</v>
      </c>
      <c r="D231">
        <v>4</v>
      </c>
      <c r="E231">
        <v>2024</v>
      </c>
      <c r="F231" s="4">
        <f t="shared" si="3"/>
        <v>45389</v>
      </c>
      <c r="G231" s="3" t="s">
        <v>137</v>
      </c>
      <c r="H231" s="3">
        <v>55</v>
      </c>
      <c r="I231" s="3" t="s">
        <v>32</v>
      </c>
      <c r="J231" s="3" t="s">
        <v>33</v>
      </c>
      <c r="K231" s="3" t="s">
        <v>38</v>
      </c>
      <c r="L231" s="3" t="s">
        <v>79</v>
      </c>
      <c r="M231" s="3">
        <v>729.27</v>
      </c>
      <c r="N231" s="3">
        <v>2</v>
      </c>
      <c r="O231" s="3">
        <v>0</v>
      </c>
      <c r="P231" s="3" t="s">
        <v>24</v>
      </c>
      <c r="Q231" s="3">
        <v>4</v>
      </c>
      <c r="R231" s="3">
        <v>9</v>
      </c>
      <c r="S231" s="3">
        <v>1458.54</v>
      </c>
      <c r="T231">
        <v>2574.69</v>
      </c>
      <c r="U231">
        <v>2067.3359999999998</v>
      </c>
    </row>
    <row r="232" spans="1:21" x14ac:dyDescent="0.35">
      <c r="A232" s="3" t="s">
        <v>363</v>
      </c>
      <c r="B232" s="3">
        <v>1230</v>
      </c>
      <c r="C232">
        <v>16</v>
      </c>
      <c r="D232">
        <v>7</v>
      </c>
      <c r="E232">
        <v>2024</v>
      </c>
      <c r="F232" s="4">
        <f t="shared" si="3"/>
        <v>45489</v>
      </c>
      <c r="G232" s="3" t="s">
        <v>324</v>
      </c>
      <c r="H232" s="3">
        <v>20</v>
      </c>
      <c r="I232" s="3" t="s">
        <v>32</v>
      </c>
      <c r="J232" s="3" t="s">
        <v>46</v>
      </c>
      <c r="K232" s="3" t="s">
        <v>22</v>
      </c>
      <c r="L232" s="3" t="s">
        <v>42</v>
      </c>
      <c r="M232" s="3">
        <v>852.59</v>
      </c>
      <c r="N232" s="3">
        <v>2</v>
      </c>
      <c r="O232" s="3">
        <v>15</v>
      </c>
      <c r="P232" s="3" t="s">
        <v>29</v>
      </c>
      <c r="Q232" s="3"/>
      <c r="R232" s="3">
        <v>1</v>
      </c>
      <c r="S232" s="3">
        <v>1449.403</v>
      </c>
      <c r="T232">
        <v>1579</v>
      </c>
      <c r="U232">
        <v>2937.6640000000002</v>
      </c>
    </row>
    <row r="233" spans="1:21" x14ac:dyDescent="0.35">
      <c r="A233" s="3" t="s">
        <v>364</v>
      </c>
      <c r="B233" s="3">
        <v>1231</v>
      </c>
      <c r="C233">
        <v>27</v>
      </c>
      <c r="D233">
        <v>8</v>
      </c>
      <c r="E233">
        <v>2024</v>
      </c>
      <c r="F233" s="4">
        <f t="shared" si="3"/>
        <v>45531</v>
      </c>
      <c r="G233" s="3" t="s">
        <v>74</v>
      </c>
      <c r="H233" s="3">
        <v>40</v>
      </c>
      <c r="I233" s="3" t="s">
        <v>20</v>
      </c>
      <c r="J233" s="3" t="s">
        <v>21</v>
      </c>
      <c r="K233" s="3" t="s">
        <v>38</v>
      </c>
      <c r="L233" s="3" t="s">
        <v>64</v>
      </c>
      <c r="M233" s="3">
        <v>832.32</v>
      </c>
      <c r="N233" s="3">
        <v>2</v>
      </c>
      <c r="O233" s="3">
        <v>10</v>
      </c>
      <c r="P233" s="3" t="s">
        <v>653</v>
      </c>
      <c r="Q233" s="3">
        <v>3</v>
      </c>
      <c r="R233" s="3">
        <v>4</v>
      </c>
      <c r="S233" s="3">
        <v>1498.1759999999999</v>
      </c>
      <c r="T233">
        <v>48.384</v>
      </c>
      <c r="U233">
        <v>334.53</v>
      </c>
    </row>
    <row r="234" spans="1:21" x14ac:dyDescent="0.35">
      <c r="A234" s="3" t="s">
        <v>365</v>
      </c>
      <c r="B234" s="3">
        <v>1232</v>
      </c>
      <c r="C234">
        <v>23</v>
      </c>
      <c r="D234">
        <v>5</v>
      </c>
      <c r="E234">
        <v>2024</v>
      </c>
      <c r="F234" s="4">
        <f t="shared" si="3"/>
        <v>45435</v>
      </c>
      <c r="G234" s="3" t="s">
        <v>172</v>
      </c>
      <c r="H234" s="3">
        <v>54</v>
      </c>
      <c r="I234" s="3" t="s">
        <v>32</v>
      </c>
      <c r="J234" s="3" t="s">
        <v>51</v>
      </c>
      <c r="K234" s="3" t="s">
        <v>41</v>
      </c>
      <c r="L234" s="3" t="s">
        <v>125</v>
      </c>
      <c r="M234" s="3">
        <v>461.97</v>
      </c>
      <c r="N234" s="3">
        <v>2</v>
      </c>
      <c r="O234" s="3">
        <v>0</v>
      </c>
      <c r="P234" s="3" t="s">
        <v>653</v>
      </c>
      <c r="Q234" s="3">
        <v>2</v>
      </c>
      <c r="R234" s="3">
        <v>4</v>
      </c>
      <c r="S234" s="3">
        <v>923.94</v>
      </c>
      <c r="T234">
        <v>1246.26</v>
      </c>
      <c r="U234">
        <v>130.66200000000001</v>
      </c>
    </row>
    <row r="235" spans="1:21" x14ac:dyDescent="0.35">
      <c r="A235" s="3" t="s">
        <v>366</v>
      </c>
      <c r="B235" s="3">
        <v>1233</v>
      </c>
      <c r="C235">
        <v>6</v>
      </c>
      <c r="D235">
        <v>4</v>
      </c>
      <c r="E235">
        <v>2024</v>
      </c>
      <c r="F235" s="4">
        <f t="shared" si="3"/>
        <v>45388</v>
      </c>
      <c r="G235" s="3" t="s">
        <v>132</v>
      </c>
      <c r="H235" s="3">
        <v>54</v>
      </c>
      <c r="I235" s="3" t="s">
        <v>20</v>
      </c>
      <c r="J235" s="3" t="s">
        <v>21</v>
      </c>
      <c r="K235" s="3" t="s">
        <v>47</v>
      </c>
      <c r="L235" s="3" t="s">
        <v>42</v>
      </c>
      <c r="M235" s="3">
        <v>216.9</v>
      </c>
      <c r="N235" s="3">
        <v>2</v>
      </c>
      <c r="O235" s="3">
        <v>5</v>
      </c>
      <c r="P235" s="3" t="s">
        <v>29</v>
      </c>
      <c r="Q235" s="3">
        <v>4</v>
      </c>
      <c r="R235" s="3">
        <v>2</v>
      </c>
      <c r="S235" s="3">
        <v>412.11</v>
      </c>
      <c r="T235">
        <v>691.76</v>
      </c>
      <c r="U235">
        <v>976.66700000000003</v>
      </c>
    </row>
    <row r="236" spans="1:21" x14ac:dyDescent="0.35">
      <c r="A236" s="3" t="s">
        <v>367</v>
      </c>
      <c r="B236" s="3">
        <v>1234</v>
      </c>
      <c r="C236">
        <v>19</v>
      </c>
      <c r="D236">
        <v>7</v>
      </c>
      <c r="E236">
        <v>2024</v>
      </c>
      <c r="F236" s="4">
        <f t="shared" si="3"/>
        <v>45492</v>
      </c>
      <c r="G236" s="3" t="s">
        <v>178</v>
      </c>
      <c r="H236" s="3">
        <v>27</v>
      </c>
      <c r="I236" s="3" t="s">
        <v>20</v>
      </c>
      <c r="J236" s="3" t="s">
        <v>46</v>
      </c>
      <c r="K236" s="3" t="s">
        <v>34</v>
      </c>
      <c r="L236" s="3" t="s">
        <v>48</v>
      </c>
      <c r="M236" s="3">
        <v>528.02</v>
      </c>
      <c r="N236" s="3">
        <v>1</v>
      </c>
      <c r="O236" s="3">
        <v>15</v>
      </c>
      <c r="P236" s="3" t="s">
        <v>653</v>
      </c>
      <c r="Q236" s="3">
        <v>3</v>
      </c>
      <c r="R236" s="3">
        <v>6</v>
      </c>
      <c r="S236" s="3">
        <v>448.81700000000001</v>
      </c>
      <c r="T236">
        <v>281.91000000000003</v>
      </c>
      <c r="U236">
        <v>610.47</v>
      </c>
    </row>
    <row r="237" spans="1:21" x14ac:dyDescent="0.35">
      <c r="A237" s="3" t="s">
        <v>368</v>
      </c>
      <c r="B237" s="3">
        <v>1235</v>
      </c>
      <c r="C237">
        <v>3</v>
      </c>
      <c r="D237">
        <v>5</v>
      </c>
      <c r="E237">
        <v>2024</v>
      </c>
      <c r="F237" s="4">
        <f t="shared" si="3"/>
        <v>45415</v>
      </c>
      <c r="G237" s="3" t="s">
        <v>19</v>
      </c>
      <c r="H237" s="3">
        <v>27</v>
      </c>
      <c r="I237" s="3" t="s">
        <v>20</v>
      </c>
      <c r="J237" s="3" t="s">
        <v>46</v>
      </c>
      <c r="K237" s="3" t="s">
        <v>38</v>
      </c>
      <c r="L237" s="3" t="s">
        <v>23</v>
      </c>
      <c r="M237" s="3">
        <v>188.26</v>
      </c>
      <c r="N237" s="3">
        <v>3</v>
      </c>
      <c r="O237" s="3">
        <v>0</v>
      </c>
      <c r="P237" s="3" t="s">
        <v>654</v>
      </c>
      <c r="Q237" s="3"/>
      <c r="R237" s="3">
        <v>3</v>
      </c>
      <c r="S237" s="3">
        <v>564.78</v>
      </c>
      <c r="T237">
        <v>3637.5120000000002</v>
      </c>
      <c r="U237">
        <v>864.63300000000004</v>
      </c>
    </row>
    <row r="238" spans="1:21" x14ac:dyDescent="0.35">
      <c r="A238" s="3" t="s">
        <v>369</v>
      </c>
      <c r="B238" s="3">
        <v>1236</v>
      </c>
      <c r="C238">
        <v>5</v>
      </c>
      <c r="D238">
        <v>7</v>
      </c>
      <c r="E238">
        <v>2024</v>
      </c>
      <c r="F238" s="4">
        <f t="shared" si="3"/>
        <v>45478</v>
      </c>
      <c r="G238" s="3" t="s">
        <v>201</v>
      </c>
      <c r="H238" s="3">
        <v>36</v>
      </c>
      <c r="I238" s="3" t="s">
        <v>32</v>
      </c>
      <c r="J238" s="3" t="s">
        <v>51</v>
      </c>
      <c r="K238" s="3" t="s">
        <v>41</v>
      </c>
      <c r="L238" s="3" t="s">
        <v>42</v>
      </c>
      <c r="M238" s="3">
        <v>1070.31</v>
      </c>
      <c r="N238" s="3">
        <v>2</v>
      </c>
      <c r="O238" s="3">
        <v>20</v>
      </c>
      <c r="P238" s="3" t="s">
        <v>653</v>
      </c>
      <c r="Q238" s="3">
        <v>3</v>
      </c>
      <c r="R238" s="3">
        <v>7</v>
      </c>
      <c r="S238" s="3">
        <v>1712.4960000000001</v>
      </c>
      <c r="T238">
        <v>39.216000000000001</v>
      </c>
      <c r="U238">
        <v>2916.7184999999999</v>
      </c>
    </row>
    <row r="239" spans="1:21" x14ac:dyDescent="0.35">
      <c r="A239" s="3" t="s">
        <v>370</v>
      </c>
      <c r="B239" s="3">
        <v>1237</v>
      </c>
      <c r="C239">
        <v>21</v>
      </c>
      <c r="D239">
        <v>11</v>
      </c>
      <c r="E239">
        <v>2024</v>
      </c>
      <c r="F239" s="4">
        <f t="shared" si="3"/>
        <v>45617</v>
      </c>
      <c r="G239" s="3" t="s">
        <v>132</v>
      </c>
      <c r="H239" s="3">
        <v>34</v>
      </c>
      <c r="I239" s="3" t="s">
        <v>32</v>
      </c>
      <c r="J239" s="3" t="s">
        <v>21</v>
      </c>
      <c r="K239" s="3" t="s">
        <v>34</v>
      </c>
      <c r="L239" s="3" t="s">
        <v>42</v>
      </c>
      <c r="M239" s="3">
        <v>428.14</v>
      </c>
      <c r="N239" s="3">
        <v>3</v>
      </c>
      <c r="O239" s="3">
        <v>5</v>
      </c>
      <c r="P239" s="3" t="s">
        <v>24</v>
      </c>
      <c r="Q239" s="3">
        <v>4</v>
      </c>
      <c r="R239" s="3">
        <v>5</v>
      </c>
      <c r="S239" s="3">
        <v>1220.1990000000001</v>
      </c>
      <c r="T239">
        <v>2146.248</v>
      </c>
    </row>
    <row r="240" spans="1:21" x14ac:dyDescent="0.35">
      <c r="A240" s="3" t="s">
        <v>371</v>
      </c>
      <c r="B240" s="3">
        <v>1238</v>
      </c>
      <c r="C240">
        <v>14</v>
      </c>
      <c r="D240">
        <v>12</v>
      </c>
      <c r="E240">
        <v>2024</v>
      </c>
      <c r="F240" s="4">
        <f t="shared" si="3"/>
        <v>45640</v>
      </c>
      <c r="G240" s="3" t="s">
        <v>128</v>
      </c>
      <c r="H240" s="3">
        <v>38</v>
      </c>
      <c r="I240" s="3" t="s">
        <v>32</v>
      </c>
      <c r="J240" s="3" t="s">
        <v>46</v>
      </c>
      <c r="K240" s="3" t="s">
        <v>34</v>
      </c>
      <c r="L240" s="3" t="s">
        <v>23</v>
      </c>
      <c r="M240" s="3">
        <v>202.26</v>
      </c>
      <c r="N240" s="3">
        <v>2</v>
      </c>
      <c r="O240" s="3">
        <v>0</v>
      </c>
      <c r="P240" s="3" t="s">
        <v>654</v>
      </c>
      <c r="Q240" s="3">
        <v>1</v>
      </c>
      <c r="R240" s="3">
        <v>4</v>
      </c>
      <c r="S240" s="3">
        <v>404.52</v>
      </c>
      <c r="T240">
        <v>1268.4780000000001</v>
      </c>
    </row>
    <row r="241" spans="1:20" x14ac:dyDescent="0.35">
      <c r="A241" s="3" t="s">
        <v>372</v>
      </c>
      <c r="B241" s="3">
        <v>1239</v>
      </c>
      <c r="C241">
        <v>15</v>
      </c>
      <c r="D241">
        <v>9</v>
      </c>
      <c r="E241">
        <v>2024</v>
      </c>
      <c r="F241" s="4">
        <f t="shared" si="3"/>
        <v>45550</v>
      </c>
      <c r="G241" s="3" t="s">
        <v>89</v>
      </c>
      <c r="H241" s="3">
        <v>31</v>
      </c>
      <c r="I241" s="3" t="s">
        <v>32</v>
      </c>
      <c r="J241" s="3" t="s">
        <v>33</v>
      </c>
      <c r="K241" s="3" t="s">
        <v>38</v>
      </c>
      <c r="L241" s="3" t="s">
        <v>125</v>
      </c>
      <c r="M241" s="3">
        <v>50.03</v>
      </c>
      <c r="N241" s="3">
        <v>2</v>
      </c>
      <c r="O241" s="3">
        <v>5</v>
      </c>
      <c r="P241" s="3" t="s">
        <v>654</v>
      </c>
      <c r="Q241" s="3">
        <v>2</v>
      </c>
      <c r="R241" s="3">
        <v>5</v>
      </c>
      <c r="S241" s="3">
        <v>95.057000000000002</v>
      </c>
      <c r="T241">
        <v>864.60299999999995</v>
      </c>
    </row>
    <row r="242" spans="1:20" x14ac:dyDescent="0.35">
      <c r="A242" s="3" t="s">
        <v>373</v>
      </c>
      <c r="B242" s="3">
        <v>1240</v>
      </c>
      <c r="C242">
        <v>27</v>
      </c>
      <c r="D242">
        <v>5</v>
      </c>
      <c r="E242">
        <v>2024</v>
      </c>
      <c r="F242" s="4">
        <f t="shared" si="3"/>
        <v>45439</v>
      </c>
      <c r="G242" s="3" t="s">
        <v>354</v>
      </c>
      <c r="H242" s="3">
        <v>26</v>
      </c>
      <c r="I242" s="3" t="s">
        <v>20</v>
      </c>
      <c r="J242" s="3" t="s">
        <v>27</v>
      </c>
      <c r="K242" s="3" t="s">
        <v>22</v>
      </c>
      <c r="L242" s="3" t="s">
        <v>125</v>
      </c>
      <c r="M242" s="3">
        <v>782.07</v>
      </c>
      <c r="N242" s="3">
        <v>1</v>
      </c>
      <c r="O242" s="3">
        <v>5</v>
      </c>
      <c r="P242" s="3" t="s">
        <v>654</v>
      </c>
      <c r="Q242" s="3">
        <v>2</v>
      </c>
      <c r="R242" s="3">
        <v>8</v>
      </c>
      <c r="S242" s="3">
        <v>742.9665</v>
      </c>
      <c r="T242">
        <v>4057.6</v>
      </c>
    </row>
    <row r="243" spans="1:20" x14ac:dyDescent="0.35">
      <c r="A243" s="3" t="s">
        <v>374</v>
      </c>
      <c r="B243" s="3">
        <v>1241</v>
      </c>
      <c r="C243">
        <v>8</v>
      </c>
      <c r="D243">
        <v>9</v>
      </c>
      <c r="E243">
        <v>2024</v>
      </c>
      <c r="F243" s="4">
        <f t="shared" si="3"/>
        <v>45543</v>
      </c>
      <c r="G243" s="3" t="s">
        <v>358</v>
      </c>
      <c r="H243" s="3">
        <v>18</v>
      </c>
      <c r="I243" s="3" t="s">
        <v>20</v>
      </c>
      <c r="J243" s="3" t="s">
        <v>27</v>
      </c>
      <c r="K243" s="3" t="s">
        <v>38</v>
      </c>
      <c r="L243" s="3" t="s">
        <v>23</v>
      </c>
      <c r="M243" s="3">
        <v>771.54</v>
      </c>
      <c r="N243" s="3">
        <v>4</v>
      </c>
      <c r="O243" s="3">
        <v>10</v>
      </c>
      <c r="P243" s="3" t="s">
        <v>29</v>
      </c>
      <c r="Q243" s="3">
        <v>1</v>
      </c>
      <c r="R243" s="3">
        <v>3</v>
      </c>
      <c r="S243" s="3">
        <v>2777.5439999999999</v>
      </c>
      <c r="T243">
        <v>3803.76</v>
      </c>
    </row>
    <row r="244" spans="1:20" x14ac:dyDescent="0.35">
      <c r="A244" s="3" t="s">
        <v>375</v>
      </c>
      <c r="B244" s="3">
        <v>1242</v>
      </c>
      <c r="C244">
        <v>11</v>
      </c>
      <c r="D244">
        <v>12</v>
      </c>
      <c r="E244">
        <v>2024</v>
      </c>
      <c r="F244" s="4">
        <f t="shared" si="3"/>
        <v>45637</v>
      </c>
      <c r="G244" s="3" t="s">
        <v>118</v>
      </c>
      <c r="H244" s="3">
        <v>30</v>
      </c>
      <c r="I244" s="3" t="s">
        <v>20</v>
      </c>
      <c r="J244" s="3" t="s">
        <v>27</v>
      </c>
      <c r="K244" s="3" t="s">
        <v>41</v>
      </c>
      <c r="L244" s="3" t="s">
        <v>79</v>
      </c>
      <c r="M244" s="3">
        <v>421.91</v>
      </c>
      <c r="N244" s="3">
        <v>4</v>
      </c>
      <c r="O244" s="3">
        <v>5</v>
      </c>
      <c r="P244" s="3" t="s">
        <v>29</v>
      </c>
      <c r="Q244" s="3">
        <v>4</v>
      </c>
      <c r="R244" s="3">
        <v>7</v>
      </c>
      <c r="S244" s="3">
        <v>1603.258</v>
      </c>
      <c r="T244">
        <v>4374.92</v>
      </c>
    </row>
    <row r="245" spans="1:20" x14ac:dyDescent="0.35">
      <c r="A245" s="3" t="s">
        <v>376</v>
      </c>
      <c r="B245" s="3">
        <v>1243</v>
      </c>
      <c r="C245">
        <v>26</v>
      </c>
      <c r="D245">
        <v>5</v>
      </c>
      <c r="E245">
        <v>2024</v>
      </c>
      <c r="F245" s="4">
        <f t="shared" si="3"/>
        <v>45438</v>
      </c>
      <c r="G245" s="3" t="s">
        <v>137</v>
      </c>
      <c r="H245" s="3">
        <v>21</v>
      </c>
      <c r="I245" s="3" t="s">
        <v>32</v>
      </c>
      <c r="J245" s="3" t="s">
        <v>21</v>
      </c>
      <c r="K245" s="3" t="s">
        <v>34</v>
      </c>
      <c r="L245" s="3" t="s">
        <v>48</v>
      </c>
      <c r="M245" s="3">
        <v>104.62</v>
      </c>
      <c r="N245" s="3">
        <v>1</v>
      </c>
      <c r="O245" s="3">
        <v>10</v>
      </c>
      <c r="P245" s="3" t="s">
        <v>654</v>
      </c>
      <c r="Q245" s="3">
        <v>2</v>
      </c>
      <c r="R245" s="3">
        <v>6</v>
      </c>
      <c r="S245" s="3">
        <v>94.158000000000001</v>
      </c>
      <c r="T245">
        <v>930.48</v>
      </c>
    </row>
    <row r="246" spans="1:20" x14ac:dyDescent="0.35">
      <c r="A246" s="3" t="s">
        <v>377</v>
      </c>
      <c r="B246" s="3">
        <v>1244</v>
      </c>
      <c r="C246">
        <v>27</v>
      </c>
      <c r="D246">
        <v>5</v>
      </c>
      <c r="E246">
        <v>2024</v>
      </c>
      <c r="F246" s="4">
        <f t="shared" si="3"/>
        <v>45439</v>
      </c>
      <c r="G246" s="3" t="s">
        <v>352</v>
      </c>
      <c r="H246" s="3">
        <v>18</v>
      </c>
      <c r="I246" s="3" t="s">
        <v>20</v>
      </c>
      <c r="J246" s="3" t="s">
        <v>51</v>
      </c>
      <c r="K246" s="3" t="s">
        <v>38</v>
      </c>
      <c r="L246" s="3" t="s">
        <v>28</v>
      </c>
      <c r="M246" s="3">
        <v>503.36</v>
      </c>
      <c r="N246" s="3">
        <v>3</v>
      </c>
      <c r="O246" s="3">
        <v>15</v>
      </c>
      <c r="P246" s="3" t="s">
        <v>29</v>
      </c>
      <c r="Q246" s="3">
        <v>4</v>
      </c>
      <c r="R246" s="3">
        <v>1</v>
      </c>
      <c r="S246" s="3">
        <v>1283.568</v>
      </c>
      <c r="T246">
        <v>1205.4000000000001</v>
      </c>
    </row>
    <row r="247" spans="1:20" x14ac:dyDescent="0.35">
      <c r="A247" s="3" t="s">
        <v>378</v>
      </c>
      <c r="B247" s="3">
        <v>1245</v>
      </c>
      <c r="C247">
        <v>17</v>
      </c>
      <c r="D247">
        <v>12</v>
      </c>
      <c r="E247">
        <v>2024</v>
      </c>
      <c r="F247" s="4">
        <f t="shared" si="3"/>
        <v>45643</v>
      </c>
      <c r="G247" s="3" t="s">
        <v>352</v>
      </c>
      <c r="H247" s="3">
        <v>57</v>
      </c>
      <c r="I247" s="3" t="s">
        <v>32</v>
      </c>
      <c r="J247" s="3" t="s">
        <v>46</v>
      </c>
      <c r="K247" s="3" t="s">
        <v>22</v>
      </c>
      <c r="L247" s="3" t="s">
        <v>35</v>
      </c>
      <c r="M247" s="3">
        <v>387.24</v>
      </c>
      <c r="N247" s="3">
        <v>4</v>
      </c>
      <c r="O247" s="3">
        <v>10</v>
      </c>
      <c r="P247" s="3" t="s">
        <v>653</v>
      </c>
      <c r="Q247" s="3"/>
      <c r="R247" s="3">
        <v>7</v>
      </c>
      <c r="S247" s="3">
        <v>1394.0640000000001</v>
      </c>
      <c r="T247">
        <v>2069.8200000000002</v>
      </c>
    </row>
    <row r="248" spans="1:20" x14ac:dyDescent="0.35">
      <c r="A248" s="3" t="s">
        <v>379</v>
      </c>
      <c r="B248" s="3">
        <v>1246</v>
      </c>
      <c r="C248">
        <v>17</v>
      </c>
      <c r="D248">
        <v>7</v>
      </c>
      <c r="E248">
        <v>2024</v>
      </c>
      <c r="F248" s="4">
        <f t="shared" si="3"/>
        <v>45490</v>
      </c>
      <c r="G248" s="3" t="s">
        <v>87</v>
      </c>
      <c r="H248" s="3">
        <v>49</v>
      </c>
      <c r="I248" s="3" t="s">
        <v>20</v>
      </c>
      <c r="J248" s="3" t="s">
        <v>33</v>
      </c>
      <c r="K248" s="3" t="s">
        <v>38</v>
      </c>
      <c r="L248" s="3" t="s">
        <v>48</v>
      </c>
      <c r="M248" s="3">
        <v>819</v>
      </c>
      <c r="N248" s="3">
        <v>1</v>
      </c>
      <c r="O248" s="3">
        <v>20</v>
      </c>
      <c r="P248" s="3" t="s">
        <v>29</v>
      </c>
      <c r="Q248" s="3">
        <v>4</v>
      </c>
      <c r="R248" s="3">
        <v>7</v>
      </c>
      <c r="S248" s="3">
        <v>655.20000000000005</v>
      </c>
      <c r="T248">
        <v>217</v>
      </c>
    </row>
    <row r="249" spans="1:20" x14ac:dyDescent="0.35">
      <c r="A249" s="3" t="s">
        <v>380</v>
      </c>
      <c r="B249" s="3">
        <v>1247</v>
      </c>
      <c r="C249">
        <v>3</v>
      </c>
      <c r="D249">
        <v>11</v>
      </c>
      <c r="E249">
        <v>2024</v>
      </c>
      <c r="F249" s="4">
        <f t="shared" si="3"/>
        <v>45599</v>
      </c>
      <c r="G249" s="3" t="s">
        <v>237</v>
      </c>
      <c r="H249" s="3">
        <v>51</v>
      </c>
      <c r="I249" s="3" t="s">
        <v>32</v>
      </c>
      <c r="J249" s="3" t="s">
        <v>33</v>
      </c>
      <c r="K249" s="3" t="s">
        <v>47</v>
      </c>
      <c r="L249" s="3" t="s">
        <v>125</v>
      </c>
      <c r="M249" s="3">
        <v>734.82</v>
      </c>
      <c r="N249" s="3">
        <v>1</v>
      </c>
      <c r="O249" s="3">
        <v>0</v>
      </c>
      <c r="P249" s="3" t="s">
        <v>29</v>
      </c>
      <c r="Q249" s="3">
        <v>3</v>
      </c>
      <c r="R249" s="3">
        <v>1</v>
      </c>
      <c r="S249" s="3">
        <v>734.82</v>
      </c>
      <c r="T249">
        <v>725.697</v>
      </c>
    </row>
    <row r="250" spans="1:20" x14ac:dyDescent="0.35">
      <c r="A250" s="3" t="s">
        <v>381</v>
      </c>
      <c r="B250" s="3">
        <v>1248</v>
      </c>
      <c r="C250">
        <v>7</v>
      </c>
      <c r="D250">
        <v>5</v>
      </c>
      <c r="E250">
        <v>2024</v>
      </c>
      <c r="F250" s="4">
        <f t="shared" si="3"/>
        <v>45419</v>
      </c>
      <c r="G250" s="3" t="s">
        <v>270</v>
      </c>
      <c r="H250" s="3">
        <v>45</v>
      </c>
      <c r="I250" s="3" t="s">
        <v>32</v>
      </c>
      <c r="J250" s="3" t="s">
        <v>21</v>
      </c>
      <c r="K250" s="3" t="s">
        <v>22</v>
      </c>
      <c r="L250" s="3" t="s">
        <v>28</v>
      </c>
      <c r="M250" s="3">
        <v>450.22</v>
      </c>
      <c r="N250" s="3">
        <v>4</v>
      </c>
      <c r="O250" s="3">
        <v>15</v>
      </c>
      <c r="P250" s="3" t="s">
        <v>654</v>
      </c>
      <c r="Q250" s="3">
        <v>1</v>
      </c>
      <c r="R250" s="3">
        <v>9</v>
      </c>
      <c r="S250" s="3">
        <v>1530.748</v>
      </c>
      <c r="T250">
        <v>4175.7839999999997</v>
      </c>
    </row>
    <row r="251" spans="1:20" x14ac:dyDescent="0.35">
      <c r="A251" s="3" t="s">
        <v>382</v>
      </c>
      <c r="B251" s="3">
        <v>1249</v>
      </c>
      <c r="C251">
        <v>8</v>
      </c>
      <c r="D251">
        <v>2</v>
      </c>
      <c r="E251">
        <v>2024</v>
      </c>
      <c r="F251" s="4">
        <f t="shared" si="3"/>
        <v>45330</v>
      </c>
      <c r="G251" s="3" t="s">
        <v>204</v>
      </c>
      <c r="H251" s="3">
        <v>48</v>
      </c>
      <c r="I251" s="3" t="s">
        <v>20</v>
      </c>
      <c r="J251" s="3" t="s">
        <v>27</v>
      </c>
      <c r="K251" s="3" t="s">
        <v>41</v>
      </c>
      <c r="L251" s="3" t="s">
        <v>64</v>
      </c>
      <c r="M251" s="3">
        <v>277.11</v>
      </c>
      <c r="N251" s="3">
        <v>3</v>
      </c>
      <c r="O251" s="3">
        <v>15</v>
      </c>
      <c r="P251" s="3" t="s">
        <v>24</v>
      </c>
      <c r="Q251" s="3">
        <v>4</v>
      </c>
      <c r="R251" s="3">
        <v>6</v>
      </c>
      <c r="S251" s="3">
        <v>706.63049999999998</v>
      </c>
      <c r="T251">
        <v>3425.73</v>
      </c>
    </row>
    <row r="252" spans="1:20" x14ac:dyDescent="0.35">
      <c r="A252" s="3" t="s">
        <v>383</v>
      </c>
      <c r="B252" s="3">
        <v>1250</v>
      </c>
      <c r="C252">
        <v>3</v>
      </c>
      <c r="D252">
        <v>12</v>
      </c>
      <c r="E252">
        <v>2024</v>
      </c>
      <c r="F252" s="4">
        <f t="shared" si="3"/>
        <v>45629</v>
      </c>
      <c r="G252" s="3" t="s">
        <v>164</v>
      </c>
      <c r="H252" s="3">
        <v>25</v>
      </c>
      <c r="I252" s="3" t="s">
        <v>20</v>
      </c>
      <c r="J252" s="3" t="s">
        <v>21</v>
      </c>
      <c r="K252" s="3" t="s">
        <v>34</v>
      </c>
      <c r="L252" s="3" t="s">
        <v>96</v>
      </c>
      <c r="M252" s="3">
        <v>1185.8800000000001</v>
      </c>
      <c r="N252" s="3">
        <v>1</v>
      </c>
      <c r="O252" s="3">
        <v>20</v>
      </c>
      <c r="P252" s="3" t="s">
        <v>24</v>
      </c>
      <c r="Q252" s="3"/>
      <c r="R252" s="3">
        <v>2</v>
      </c>
      <c r="S252" s="3">
        <v>948.70399999999995</v>
      </c>
      <c r="T252">
        <v>806.55</v>
      </c>
    </row>
    <row r="253" spans="1:20" x14ac:dyDescent="0.35">
      <c r="A253" s="3" t="s">
        <v>384</v>
      </c>
      <c r="B253" s="3">
        <v>1251</v>
      </c>
      <c r="C253">
        <v>25</v>
      </c>
      <c r="D253">
        <v>12</v>
      </c>
      <c r="E253">
        <v>2024</v>
      </c>
      <c r="F253" s="4">
        <f t="shared" si="3"/>
        <v>45651</v>
      </c>
      <c r="G253" s="3" t="s">
        <v>113</v>
      </c>
      <c r="H253" s="3">
        <v>56</v>
      </c>
      <c r="I253" s="3" t="s">
        <v>20</v>
      </c>
      <c r="J253" s="3" t="s">
        <v>51</v>
      </c>
      <c r="K253" s="3" t="s">
        <v>38</v>
      </c>
      <c r="L253" s="3" t="s">
        <v>42</v>
      </c>
      <c r="M253" s="3">
        <v>555.72</v>
      </c>
      <c r="N253" s="3">
        <v>2</v>
      </c>
      <c r="O253" s="3">
        <v>10</v>
      </c>
      <c r="P253" s="3" t="s">
        <v>24</v>
      </c>
      <c r="Q253" s="3">
        <v>5</v>
      </c>
      <c r="R253" s="3">
        <v>5</v>
      </c>
      <c r="S253" s="3">
        <v>1000.296</v>
      </c>
      <c r="T253">
        <v>411.34050000000002</v>
      </c>
    </row>
    <row r="254" spans="1:20" x14ac:dyDescent="0.35">
      <c r="A254" s="3" t="s">
        <v>385</v>
      </c>
      <c r="B254" s="3">
        <v>1252</v>
      </c>
      <c r="C254">
        <v>8</v>
      </c>
      <c r="D254">
        <v>5</v>
      </c>
      <c r="E254">
        <v>2024</v>
      </c>
      <c r="F254" s="4">
        <f t="shared" si="3"/>
        <v>45420</v>
      </c>
      <c r="G254" s="3" t="s">
        <v>59</v>
      </c>
      <c r="H254" s="3">
        <v>43</v>
      </c>
      <c r="I254" s="3" t="s">
        <v>20</v>
      </c>
      <c r="J254" s="3" t="s">
        <v>51</v>
      </c>
      <c r="K254" s="3" t="s">
        <v>22</v>
      </c>
      <c r="L254" s="3" t="s">
        <v>23</v>
      </c>
      <c r="M254" s="3">
        <v>832.16</v>
      </c>
      <c r="N254" s="3">
        <v>3</v>
      </c>
      <c r="O254" s="3">
        <v>0</v>
      </c>
      <c r="P254" s="3" t="s">
        <v>653</v>
      </c>
      <c r="Q254" s="3">
        <v>1</v>
      </c>
      <c r="R254" s="3">
        <v>4</v>
      </c>
      <c r="S254" s="3">
        <v>2496.48</v>
      </c>
      <c r="T254">
        <v>1602.335</v>
      </c>
    </row>
    <row r="255" spans="1:20" x14ac:dyDescent="0.35">
      <c r="A255" s="3" t="s">
        <v>386</v>
      </c>
      <c r="B255" s="3">
        <v>1253</v>
      </c>
      <c r="C255">
        <v>23</v>
      </c>
      <c r="D255">
        <v>9</v>
      </c>
      <c r="E255">
        <v>2024</v>
      </c>
      <c r="F255" s="4">
        <f t="shared" si="3"/>
        <v>45558</v>
      </c>
      <c r="G255" s="3" t="s">
        <v>63</v>
      </c>
      <c r="H255" s="3">
        <v>51</v>
      </c>
      <c r="I255" s="3" t="s">
        <v>32</v>
      </c>
      <c r="J255" s="3" t="s">
        <v>46</v>
      </c>
      <c r="K255" s="3" t="s">
        <v>47</v>
      </c>
      <c r="L255" s="3" t="s">
        <v>23</v>
      </c>
      <c r="M255" s="3">
        <v>185.85</v>
      </c>
      <c r="N255" s="3">
        <v>3</v>
      </c>
      <c r="O255" s="3">
        <v>10</v>
      </c>
      <c r="P255" s="3" t="s">
        <v>29</v>
      </c>
      <c r="Q255" s="3">
        <v>2</v>
      </c>
      <c r="R255" s="3">
        <v>7</v>
      </c>
      <c r="S255" s="3">
        <v>501.79500000000002</v>
      </c>
      <c r="T255">
        <v>780.1</v>
      </c>
    </row>
    <row r="256" spans="1:20" x14ac:dyDescent="0.35">
      <c r="A256" s="3" t="s">
        <v>387</v>
      </c>
      <c r="B256" s="3">
        <v>1254</v>
      </c>
      <c r="C256">
        <v>30</v>
      </c>
      <c r="D256">
        <v>5</v>
      </c>
      <c r="E256">
        <v>2024</v>
      </c>
      <c r="F256" s="4">
        <f t="shared" si="3"/>
        <v>45442</v>
      </c>
      <c r="G256" s="3" t="s">
        <v>388</v>
      </c>
      <c r="H256" s="3">
        <v>20</v>
      </c>
      <c r="I256" s="3" t="s">
        <v>20</v>
      </c>
      <c r="J256" s="3" t="s">
        <v>46</v>
      </c>
      <c r="K256" s="3" t="s">
        <v>22</v>
      </c>
      <c r="L256" s="3" t="s">
        <v>42</v>
      </c>
      <c r="M256" s="3">
        <v>593</v>
      </c>
      <c r="N256" s="3">
        <v>4</v>
      </c>
      <c r="O256" s="3">
        <v>5</v>
      </c>
      <c r="P256" s="3" t="s">
        <v>24</v>
      </c>
      <c r="Q256" s="3">
        <v>3</v>
      </c>
      <c r="R256" s="3">
        <v>8</v>
      </c>
      <c r="S256" s="3">
        <v>2253.4</v>
      </c>
      <c r="T256">
        <v>378.13099999999997</v>
      </c>
    </row>
    <row r="257" spans="1:20" x14ac:dyDescent="0.35">
      <c r="A257" s="3" t="s">
        <v>389</v>
      </c>
      <c r="B257" s="3">
        <v>1255</v>
      </c>
      <c r="C257">
        <v>24</v>
      </c>
      <c r="D257">
        <v>10</v>
      </c>
      <c r="E257">
        <v>2024</v>
      </c>
      <c r="F257" s="4">
        <f t="shared" si="3"/>
        <v>45589</v>
      </c>
      <c r="G257" s="3" t="s">
        <v>291</v>
      </c>
      <c r="H257" s="3">
        <v>29</v>
      </c>
      <c r="I257" s="3" t="s">
        <v>20</v>
      </c>
      <c r="J257" s="3" t="s">
        <v>51</v>
      </c>
      <c r="K257" s="3" t="s">
        <v>47</v>
      </c>
      <c r="L257" s="3" t="s">
        <v>96</v>
      </c>
      <c r="M257" s="3">
        <v>52.49</v>
      </c>
      <c r="N257" s="3">
        <v>4</v>
      </c>
      <c r="O257" s="3">
        <v>10</v>
      </c>
      <c r="P257" s="3" t="s">
        <v>654</v>
      </c>
      <c r="Q257" s="3">
        <v>2</v>
      </c>
      <c r="R257" s="3">
        <v>1</v>
      </c>
      <c r="S257" s="3">
        <v>188.964</v>
      </c>
      <c r="T257">
        <v>530.62</v>
      </c>
    </row>
    <row r="258" spans="1:20" x14ac:dyDescent="0.35">
      <c r="A258" s="3" t="s">
        <v>390</v>
      </c>
      <c r="B258" s="3">
        <v>1256</v>
      </c>
      <c r="C258">
        <v>8</v>
      </c>
      <c r="D258">
        <v>4</v>
      </c>
      <c r="E258">
        <v>2024</v>
      </c>
      <c r="F258" s="4">
        <f t="shared" si="3"/>
        <v>45390</v>
      </c>
      <c r="G258" s="3" t="s">
        <v>156</v>
      </c>
      <c r="H258" s="3">
        <v>18</v>
      </c>
      <c r="I258" s="3" t="s">
        <v>20</v>
      </c>
      <c r="J258" s="3" t="s">
        <v>51</v>
      </c>
      <c r="K258" s="3" t="s">
        <v>41</v>
      </c>
      <c r="L258" s="3" t="s">
        <v>35</v>
      </c>
      <c r="M258" s="3">
        <v>616.44000000000005</v>
      </c>
      <c r="N258" s="3">
        <v>2</v>
      </c>
      <c r="O258" s="3">
        <v>15</v>
      </c>
      <c r="P258" s="3" t="s">
        <v>24</v>
      </c>
      <c r="Q258" s="3"/>
      <c r="R258" s="3">
        <v>5</v>
      </c>
      <c r="S258" s="3">
        <v>1047.9480000000001</v>
      </c>
      <c r="T258">
        <v>1792.288</v>
      </c>
    </row>
    <row r="259" spans="1:20" x14ac:dyDescent="0.35">
      <c r="A259" s="3" t="s">
        <v>391</v>
      </c>
      <c r="B259" s="3">
        <v>1257</v>
      </c>
      <c r="C259">
        <v>19</v>
      </c>
      <c r="D259">
        <v>9</v>
      </c>
      <c r="E259">
        <v>2024</v>
      </c>
      <c r="F259" s="4">
        <f t="shared" ref="F259:F322" si="4">DATE(E259,D259,C259)</f>
        <v>45554</v>
      </c>
      <c r="G259" s="3" t="s">
        <v>91</v>
      </c>
      <c r="H259" s="3">
        <v>22</v>
      </c>
      <c r="I259" s="3" t="s">
        <v>32</v>
      </c>
      <c r="J259" s="3" t="s">
        <v>51</v>
      </c>
      <c r="K259" s="3" t="s">
        <v>34</v>
      </c>
      <c r="L259" s="3" t="s">
        <v>96</v>
      </c>
      <c r="M259" s="3">
        <v>1157.54</v>
      </c>
      <c r="N259" s="3">
        <v>1</v>
      </c>
      <c r="O259" s="3">
        <v>0</v>
      </c>
      <c r="P259" s="3" t="s">
        <v>24</v>
      </c>
      <c r="Q259" s="3"/>
      <c r="R259" s="3">
        <v>3</v>
      </c>
      <c r="S259" s="3">
        <v>1157.54</v>
      </c>
      <c r="T259">
        <v>506.31200000000001</v>
      </c>
    </row>
    <row r="260" spans="1:20" x14ac:dyDescent="0.35">
      <c r="A260" s="3" t="s">
        <v>392</v>
      </c>
      <c r="B260" s="3">
        <v>1258</v>
      </c>
      <c r="C260">
        <v>8</v>
      </c>
      <c r="D260">
        <v>9</v>
      </c>
      <c r="E260">
        <v>2024</v>
      </c>
      <c r="F260" s="4">
        <f t="shared" si="4"/>
        <v>45543</v>
      </c>
      <c r="G260" s="3" t="s">
        <v>352</v>
      </c>
      <c r="H260" s="3">
        <v>47</v>
      </c>
      <c r="I260" s="3" t="s">
        <v>32</v>
      </c>
      <c r="J260" s="3" t="s">
        <v>21</v>
      </c>
      <c r="K260" s="3" t="s">
        <v>41</v>
      </c>
      <c r="L260" s="3" t="s">
        <v>28</v>
      </c>
      <c r="M260" s="3">
        <v>473.36</v>
      </c>
      <c r="N260" s="3">
        <v>4</v>
      </c>
      <c r="O260" s="3">
        <v>10</v>
      </c>
      <c r="P260" s="3" t="s">
        <v>29</v>
      </c>
      <c r="Q260" s="3">
        <v>2</v>
      </c>
      <c r="R260" s="3">
        <v>1</v>
      </c>
      <c r="S260" s="3">
        <v>1704.096</v>
      </c>
      <c r="T260">
        <v>365.10399999999998</v>
      </c>
    </row>
    <row r="261" spans="1:20" x14ac:dyDescent="0.35">
      <c r="A261" s="3" t="s">
        <v>393</v>
      </c>
      <c r="B261" s="3">
        <v>1259</v>
      </c>
      <c r="C261">
        <v>23</v>
      </c>
      <c r="D261">
        <v>5</v>
      </c>
      <c r="E261">
        <v>2024</v>
      </c>
      <c r="F261" s="4">
        <f t="shared" si="4"/>
        <v>45435</v>
      </c>
      <c r="G261" s="3" t="s">
        <v>204</v>
      </c>
      <c r="H261" s="3">
        <v>47</v>
      </c>
      <c r="I261" s="3" t="s">
        <v>20</v>
      </c>
      <c r="J261" s="3" t="s">
        <v>51</v>
      </c>
      <c r="K261" s="3" t="s">
        <v>38</v>
      </c>
      <c r="L261" s="3" t="s">
        <v>96</v>
      </c>
      <c r="M261" s="3">
        <v>66.02</v>
      </c>
      <c r="N261" s="3">
        <v>4</v>
      </c>
      <c r="O261" s="3">
        <v>0</v>
      </c>
      <c r="P261" s="3" t="s">
        <v>29</v>
      </c>
      <c r="Q261" s="3">
        <v>1</v>
      </c>
      <c r="R261" s="3">
        <v>3</v>
      </c>
      <c r="S261" s="3">
        <v>264.08</v>
      </c>
      <c r="T261">
        <v>65.424000000000007</v>
      </c>
    </row>
    <row r="262" spans="1:20" x14ac:dyDescent="0.35">
      <c r="A262" s="3" t="s">
        <v>394</v>
      </c>
      <c r="B262" s="3">
        <v>1260</v>
      </c>
      <c r="C262">
        <v>11</v>
      </c>
      <c r="D262">
        <v>12</v>
      </c>
      <c r="E262">
        <v>2024</v>
      </c>
      <c r="F262" s="4">
        <f t="shared" si="4"/>
        <v>45637</v>
      </c>
      <c r="G262" s="3" t="s">
        <v>289</v>
      </c>
      <c r="H262" s="3">
        <v>34</v>
      </c>
      <c r="I262" s="3" t="s">
        <v>32</v>
      </c>
      <c r="J262" s="3" t="s">
        <v>33</v>
      </c>
      <c r="K262" s="3" t="s">
        <v>22</v>
      </c>
      <c r="L262" s="3" t="s">
        <v>28</v>
      </c>
      <c r="M262" s="3">
        <v>56.53</v>
      </c>
      <c r="N262" s="3">
        <v>3</v>
      </c>
      <c r="O262" s="3">
        <v>0</v>
      </c>
      <c r="P262" s="3" t="s">
        <v>29</v>
      </c>
      <c r="Q262" s="3">
        <v>2</v>
      </c>
      <c r="R262" s="3">
        <v>6</v>
      </c>
      <c r="S262" s="3">
        <v>169.59</v>
      </c>
      <c r="T262">
        <v>1573.741</v>
      </c>
    </row>
    <row r="263" spans="1:20" x14ac:dyDescent="0.35">
      <c r="A263" s="3" t="s">
        <v>395</v>
      </c>
      <c r="B263" s="3">
        <v>1261</v>
      </c>
      <c r="C263">
        <v>21</v>
      </c>
      <c r="D263">
        <v>4</v>
      </c>
      <c r="E263">
        <v>2024</v>
      </c>
      <c r="F263" s="4">
        <f t="shared" si="4"/>
        <v>45403</v>
      </c>
      <c r="G263" s="3" t="s">
        <v>164</v>
      </c>
      <c r="H263" s="3">
        <v>40</v>
      </c>
      <c r="I263" s="3" t="s">
        <v>20</v>
      </c>
      <c r="J263" s="3" t="s">
        <v>27</v>
      </c>
      <c r="K263" s="3" t="s">
        <v>47</v>
      </c>
      <c r="L263" s="3" t="s">
        <v>96</v>
      </c>
      <c r="M263" s="3">
        <v>477.82</v>
      </c>
      <c r="N263" s="3">
        <v>4</v>
      </c>
      <c r="O263" s="3">
        <v>5</v>
      </c>
      <c r="P263" s="3" t="s">
        <v>653</v>
      </c>
      <c r="Q263" s="3">
        <v>4</v>
      </c>
      <c r="R263" s="3">
        <v>7</v>
      </c>
      <c r="S263" s="3">
        <v>1815.7159999999999</v>
      </c>
      <c r="T263">
        <v>1636.7360000000001</v>
      </c>
    </row>
    <row r="264" spans="1:20" x14ac:dyDescent="0.35">
      <c r="A264" s="3" t="s">
        <v>396</v>
      </c>
      <c r="B264" s="3">
        <v>1262</v>
      </c>
      <c r="C264">
        <v>29</v>
      </c>
      <c r="D264">
        <v>2</v>
      </c>
      <c r="E264">
        <v>2024</v>
      </c>
      <c r="F264" s="4">
        <f t="shared" si="4"/>
        <v>45351</v>
      </c>
      <c r="G264" s="3" t="s">
        <v>201</v>
      </c>
      <c r="H264" s="3">
        <v>32</v>
      </c>
      <c r="I264" s="3" t="s">
        <v>32</v>
      </c>
      <c r="J264" s="3" t="s">
        <v>51</v>
      </c>
      <c r="K264" s="3" t="s">
        <v>47</v>
      </c>
      <c r="L264" s="3" t="s">
        <v>35</v>
      </c>
      <c r="M264" s="3">
        <v>208.83</v>
      </c>
      <c r="N264" s="3">
        <v>4</v>
      </c>
      <c r="O264" s="3">
        <v>5</v>
      </c>
      <c r="P264" s="3" t="s">
        <v>653</v>
      </c>
      <c r="Q264" s="3">
        <v>2</v>
      </c>
      <c r="R264" s="3">
        <v>8</v>
      </c>
      <c r="S264" s="3">
        <v>793.55399999999997</v>
      </c>
      <c r="T264">
        <v>2673.4589999999998</v>
      </c>
    </row>
    <row r="265" spans="1:20" x14ac:dyDescent="0.35">
      <c r="A265" s="3" t="s">
        <v>397</v>
      </c>
      <c r="B265" s="3">
        <v>1263</v>
      </c>
      <c r="C265">
        <v>2</v>
      </c>
      <c r="D265">
        <v>1</v>
      </c>
      <c r="E265">
        <v>2024</v>
      </c>
      <c r="F265" s="4">
        <f t="shared" si="4"/>
        <v>45293</v>
      </c>
      <c r="G265" s="3" t="s">
        <v>104</v>
      </c>
      <c r="H265" s="3">
        <v>54</v>
      </c>
      <c r="I265" s="3" t="s">
        <v>32</v>
      </c>
      <c r="J265" s="3" t="s">
        <v>27</v>
      </c>
      <c r="K265" s="3" t="s">
        <v>22</v>
      </c>
      <c r="L265" s="3" t="s">
        <v>35</v>
      </c>
      <c r="M265" s="3">
        <v>47.56</v>
      </c>
      <c r="N265" s="3">
        <v>4</v>
      </c>
      <c r="O265" s="3">
        <v>15</v>
      </c>
      <c r="P265" s="3" t="s">
        <v>24</v>
      </c>
      <c r="Q265" s="3">
        <v>3</v>
      </c>
      <c r="R265" s="3">
        <v>4</v>
      </c>
      <c r="S265" s="3">
        <v>161.70400000000001</v>
      </c>
    </row>
    <row r="266" spans="1:20" x14ac:dyDescent="0.35">
      <c r="A266" s="3" t="s">
        <v>398</v>
      </c>
      <c r="B266" s="3">
        <v>1264</v>
      </c>
      <c r="C266">
        <v>30</v>
      </c>
      <c r="D266">
        <v>10</v>
      </c>
      <c r="E266">
        <v>2024</v>
      </c>
      <c r="F266" s="4">
        <f t="shared" si="4"/>
        <v>45595</v>
      </c>
      <c r="G266" s="3" t="s">
        <v>50</v>
      </c>
      <c r="H266" s="3">
        <v>38</v>
      </c>
      <c r="I266" s="3" t="s">
        <v>32</v>
      </c>
      <c r="J266" s="3" t="s">
        <v>21</v>
      </c>
      <c r="K266" s="3" t="s">
        <v>22</v>
      </c>
      <c r="L266" s="3" t="s">
        <v>125</v>
      </c>
      <c r="M266" s="3">
        <v>912.33</v>
      </c>
      <c r="N266" s="3">
        <v>4</v>
      </c>
      <c r="O266" s="3">
        <v>20</v>
      </c>
      <c r="P266" s="3" t="s">
        <v>29</v>
      </c>
      <c r="Q266" s="3">
        <v>3</v>
      </c>
      <c r="R266" s="3">
        <v>3</v>
      </c>
      <c r="S266" s="3">
        <v>2919.4560000000001</v>
      </c>
    </row>
    <row r="267" spans="1:20" x14ac:dyDescent="0.35">
      <c r="A267" s="3" t="s">
        <v>399</v>
      </c>
      <c r="B267" s="3">
        <v>1265</v>
      </c>
      <c r="C267">
        <v>10</v>
      </c>
      <c r="D267">
        <v>9</v>
      </c>
      <c r="E267">
        <v>2024</v>
      </c>
      <c r="F267" s="4">
        <f t="shared" si="4"/>
        <v>45545</v>
      </c>
      <c r="G267" s="3" t="s">
        <v>143</v>
      </c>
      <c r="H267" s="3">
        <v>31</v>
      </c>
      <c r="I267" s="3" t="s">
        <v>32</v>
      </c>
      <c r="J267" s="3" t="s">
        <v>27</v>
      </c>
      <c r="K267" s="3" t="s">
        <v>38</v>
      </c>
      <c r="L267" s="3" t="s">
        <v>42</v>
      </c>
      <c r="M267" s="3">
        <v>561.05999999999995</v>
      </c>
      <c r="N267" s="3">
        <v>3</v>
      </c>
      <c r="O267" s="3">
        <v>0</v>
      </c>
      <c r="P267" s="3" t="s">
        <v>24</v>
      </c>
      <c r="Q267" s="3">
        <v>5</v>
      </c>
      <c r="R267" s="3">
        <v>5</v>
      </c>
      <c r="S267" s="3">
        <v>1683.18</v>
      </c>
    </row>
    <row r="268" spans="1:20" x14ac:dyDescent="0.35">
      <c r="A268" s="3" t="s">
        <v>400</v>
      </c>
      <c r="B268" s="3">
        <v>1266</v>
      </c>
      <c r="C268">
        <v>19</v>
      </c>
      <c r="D268">
        <v>5</v>
      </c>
      <c r="E268">
        <v>2024</v>
      </c>
      <c r="F268" s="4">
        <f t="shared" si="4"/>
        <v>45431</v>
      </c>
      <c r="G268" s="3" t="s">
        <v>137</v>
      </c>
      <c r="H268" s="3">
        <v>19</v>
      </c>
      <c r="I268" s="3" t="s">
        <v>20</v>
      </c>
      <c r="J268" s="3" t="s">
        <v>21</v>
      </c>
      <c r="K268" s="3" t="s">
        <v>41</v>
      </c>
      <c r="L268" s="3" t="s">
        <v>35</v>
      </c>
      <c r="M268" s="3">
        <v>361.31</v>
      </c>
      <c r="N268" s="3">
        <v>2</v>
      </c>
      <c r="O268" s="3">
        <v>20</v>
      </c>
      <c r="P268" s="3" t="s">
        <v>654</v>
      </c>
      <c r="Q268" s="3">
        <v>3</v>
      </c>
      <c r="R268" s="3">
        <v>9</v>
      </c>
      <c r="S268" s="3">
        <v>578.096</v>
      </c>
    </row>
    <row r="269" spans="1:20" x14ac:dyDescent="0.35">
      <c r="A269" s="3" t="s">
        <v>401</v>
      </c>
      <c r="B269" s="3">
        <v>1267</v>
      </c>
      <c r="C269">
        <v>6</v>
      </c>
      <c r="D269">
        <v>2</v>
      </c>
      <c r="E269">
        <v>2024</v>
      </c>
      <c r="F269" s="4">
        <f t="shared" si="4"/>
        <v>45328</v>
      </c>
      <c r="G269" s="3" t="s">
        <v>204</v>
      </c>
      <c r="H269" s="3">
        <v>28</v>
      </c>
      <c r="I269" s="3" t="s">
        <v>20</v>
      </c>
      <c r="J269" s="3" t="s">
        <v>33</v>
      </c>
      <c r="K269" s="3" t="s">
        <v>47</v>
      </c>
      <c r="L269" s="3" t="s">
        <v>28</v>
      </c>
      <c r="M269" s="3">
        <v>1082.0999999999999</v>
      </c>
      <c r="N269" s="3">
        <v>2</v>
      </c>
      <c r="O269" s="3">
        <v>15</v>
      </c>
      <c r="P269" s="3" t="s">
        <v>654</v>
      </c>
      <c r="Q269" s="3">
        <v>2</v>
      </c>
      <c r="R269" s="3">
        <v>6</v>
      </c>
      <c r="S269" s="3">
        <v>1839.57</v>
      </c>
    </row>
    <row r="270" spans="1:20" x14ac:dyDescent="0.35">
      <c r="A270" s="3" t="s">
        <v>402</v>
      </c>
      <c r="B270" s="3">
        <v>1268</v>
      </c>
      <c r="C270">
        <v>8</v>
      </c>
      <c r="D270">
        <v>6</v>
      </c>
      <c r="E270">
        <v>2024</v>
      </c>
      <c r="F270" s="4">
        <f t="shared" si="4"/>
        <v>45451</v>
      </c>
      <c r="G270" s="3" t="s">
        <v>403</v>
      </c>
      <c r="H270" s="3">
        <v>56</v>
      </c>
      <c r="I270" s="3" t="s">
        <v>20</v>
      </c>
      <c r="J270" s="3" t="s">
        <v>21</v>
      </c>
      <c r="K270" s="3" t="s">
        <v>38</v>
      </c>
      <c r="L270" s="3" t="s">
        <v>35</v>
      </c>
      <c r="M270" s="3">
        <v>157.04</v>
      </c>
      <c r="N270" s="3">
        <v>1</v>
      </c>
      <c r="O270" s="3">
        <v>0</v>
      </c>
      <c r="P270" s="3" t="s">
        <v>29</v>
      </c>
      <c r="Q270" s="3">
        <v>3</v>
      </c>
      <c r="R270" s="3">
        <v>9</v>
      </c>
      <c r="S270" s="3">
        <v>157.04</v>
      </c>
    </row>
    <row r="271" spans="1:20" x14ac:dyDescent="0.35">
      <c r="A271" s="3" t="s">
        <v>404</v>
      </c>
      <c r="B271" s="3">
        <v>1269</v>
      </c>
      <c r="C271">
        <v>9</v>
      </c>
      <c r="D271">
        <v>1</v>
      </c>
      <c r="E271">
        <v>2024</v>
      </c>
      <c r="F271" s="4">
        <f t="shared" si="4"/>
        <v>45300</v>
      </c>
      <c r="G271" s="3" t="s">
        <v>40</v>
      </c>
      <c r="H271" s="3">
        <v>55</v>
      </c>
      <c r="I271" s="3" t="s">
        <v>32</v>
      </c>
      <c r="J271" s="3" t="s">
        <v>21</v>
      </c>
      <c r="K271" s="3" t="s">
        <v>41</v>
      </c>
      <c r="L271" s="3" t="s">
        <v>125</v>
      </c>
      <c r="M271" s="3">
        <v>1147.98</v>
      </c>
      <c r="N271" s="3">
        <v>4</v>
      </c>
      <c r="O271" s="3">
        <v>0</v>
      </c>
      <c r="P271" s="3" t="s">
        <v>29</v>
      </c>
      <c r="Q271" s="3">
        <v>1</v>
      </c>
      <c r="R271" s="3">
        <v>6</v>
      </c>
      <c r="S271" s="3">
        <v>4591.92</v>
      </c>
    </row>
    <row r="272" spans="1:20" x14ac:dyDescent="0.35">
      <c r="A272" s="3" t="s">
        <v>405</v>
      </c>
      <c r="B272" s="3">
        <v>1270</v>
      </c>
      <c r="C272">
        <v>20</v>
      </c>
      <c r="D272">
        <v>8</v>
      </c>
      <c r="E272">
        <v>2024</v>
      </c>
      <c r="F272" s="4">
        <f t="shared" si="4"/>
        <v>45524</v>
      </c>
      <c r="G272" s="3" t="s">
        <v>57</v>
      </c>
      <c r="H272" s="3">
        <v>51</v>
      </c>
      <c r="I272" s="3" t="s">
        <v>20</v>
      </c>
      <c r="J272" s="3" t="s">
        <v>46</v>
      </c>
      <c r="K272" s="3" t="s">
        <v>38</v>
      </c>
      <c r="L272" s="3" t="s">
        <v>23</v>
      </c>
      <c r="M272" s="3">
        <v>390.48</v>
      </c>
      <c r="N272" s="3">
        <v>3</v>
      </c>
      <c r="O272" s="3">
        <v>20</v>
      </c>
      <c r="P272" s="3" t="s">
        <v>654</v>
      </c>
      <c r="Q272" s="3">
        <v>3</v>
      </c>
      <c r="R272" s="3">
        <v>2</v>
      </c>
      <c r="S272" s="3">
        <v>937.15200000000004</v>
      </c>
    </row>
    <row r="273" spans="1:19" x14ac:dyDescent="0.35">
      <c r="A273" s="3" t="s">
        <v>406</v>
      </c>
      <c r="B273" s="3">
        <v>1271</v>
      </c>
      <c r="C273">
        <v>8</v>
      </c>
      <c r="D273">
        <v>4</v>
      </c>
      <c r="E273">
        <v>2024</v>
      </c>
      <c r="F273" s="4">
        <f t="shared" si="4"/>
        <v>45390</v>
      </c>
      <c r="G273" s="3" t="s">
        <v>107</v>
      </c>
      <c r="H273" s="3">
        <v>55</v>
      </c>
      <c r="I273" s="3" t="s">
        <v>20</v>
      </c>
      <c r="J273" s="3" t="s">
        <v>51</v>
      </c>
      <c r="K273" s="3" t="s">
        <v>47</v>
      </c>
      <c r="L273" s="3" t="s">
        <v>28</v>
      </c>
      <c r="M273" s="3">
        <v>1068.32</v>
      </c>
      <c r="N273" s="3">
        <v>1</v>
      </c>
      <c r="O273" s="3">
        <v>10</v>
      </c>
      <c r="P273" s="3" t="s">
        <v>29</v>
      </c>
      <c r="Q273" s="3">
        <v>4</v>
      </c>
      <c r="R273" s="3">
        <v>5</v>
      </c>
      <c r="S273" s="3">
        <v>961.48800000000006</v>
      </c>
    </row>
    <row r="274" spans="1:19" x14ac:dyDescent="0.35">
      <c r="A274" s="3" t="s">
        <v>407</v>
      </c>
      <c r="B274" s="3">
        <v>1272</v>
      </c>
      <c r="C274">
        <v>26</v>
      </c>
      <c r="D274">
        <v>5</v>
      </c>
      <c r="E274">
        <v>2024</v>
      </c>
      <c r="F274" s="4">
        <f t="shared" si="4"/>
        <v>45438</v>
      </c>
      <c r="G274" s="3" t="s">
        <v>169</v>
      </c>
      <c r="H274" s="3">
        <v>51</v>
      </c>
      <c r="I274" s="3" t="s">
        <v>20</v>
      </c>
      <c r="J274" s="3" t="s">
        <v>51</v>
      </c>
      <c r="K274" s="3" t="s">
        <v>22</v>
      </c>
      <c r="L274" s="3" t="s">
        <v>125</v>
      </c>
      <c r="M274" s="3">
        <v>731.47</v>
      </c>
      <c r="N274" s="3">
        <v>1</v>
      </c>
      <c r="O274" s="3">
        <v>5</v>
      </c>
      <c r="P274" s="3" t="s">
        <v>653</v>
      </c>
      <c r="Q274" s="3">
        <v>1</v>
      </c>
      <c r="R274" s="3">
        <v>9</v>
      </c>
      <c r="S274" s="3">
        <v>694.89649999999995</v>
      </c>
    </row>
    <row r="275" spans="1:19" x14ac:dyDescent="0.35">
      <c r="A275" s="3" t="s">
        <v>408</v>
      </c>
      <c r="B275" s="3">
        <v>1273</v>
      </c>
      <c r="C275">
        <v>30</v>
      </c>
      <c r="D275">
        <v>10</v>
      </c>
      <c r="E275">
        <v>2024</v>
      </c>
      <c r="F275" s="4">
        <f t="shared" si="4"/>
        <v>45595</v>
      </c>
      <c r="G275" s="3" t="s">
        <v>219</v>
      </c>
      <c r="H275" s="3">
        <v>35</v>
      </c>
      <c r="I275" s="3" t="s">
        <v>32</v>
      </c>
      <c r="J275" s="3" t="s">
        <v>33</v>
      </c>
      <c r="K275" s="3" t="s">
        <v>22</v>
      </c>
      <c r="L275" s="3" t="s">
        <v>79</v>
      </c>
      <c r="M275" s="3">
        <v>995.51</v>
      </c>
      <c r="N275" s="3">
        <v>2</v>
      </c>
      <c r="O275" s="3">
        <v>10</v>
      </c>
      <c r="P275" s="3" t="s">
        <v>653</v>
      </c>
      <c r="Q275" s="3">
        <v>5</v>
      </c>
      <c r="R275" s="3">
        <v>8</v>
      </c>
      <c r="S275" s="3">
        <v>1791.9179999999999</v>
      </c>
    </row>
    <row r="276" spans="1:19" x14ac:dyDescent="0.35">
      <c r="A276" s="3" t="s">
        <v>409</v>
      </c>
      <c r="B276" s="3">
        <v>1274</v>
      </c>
      <c r="C276">
        <v>26</v>
      </c>
      <c r="D276">
        <v>7</v>
      </c>
      <c r="E276">
        <v>2024</v>
      </c>
      <c r="F276" s="4">
        <f t="shared" si="4"/>
        <v>45499</v>
      </c>
      <c r="G276" s="3" t="s">
        <v>98</v>
      </c>
      <c r="H276" s="3">
        <v>47</v>
      </c>
      <c r="I276" s="3" t="s">
        <v>32</v>
      </c>
      <c r="J276" s="3" t="s">
        <v>33</v>
      </c>
      <c r="K276" s="3" t="s">
        <v>41</v>
      </c>
      <c r="L276" s="3" t="s">
        <v>79</v>
      </c>
      <c r="M276" s="3">
        <v>1181.1400000000001</v>
      </c>
      <c r="N276" s="3">
        <v>3</v>
      </c>
      <c r="O276" s="3">
        <v>20</v>
      </c>
      <c r="P276" s="3" t="s">
        <v>29</v>
      </c>
      <c r="Q276" s="3">
        <v>4</v>
      </c>
      <c r="R276" s="3">
        <v>7</v>
      </c>
      <c r="S276" s="3">
        <v>2834.7359999999999</v>
      </c>
    </row>
    <row r="277" spans="1:19" x14ac:dyDescent="0.35">
      <c r="A277" s="3" t="s">
        <v>410</v>
      </c>
      <c r="B277" s="3">
        <v>1275</v>
      </c>
      <c r="C277">
        <v>10</v>
      </c>
      <c r="D277">
        <v>5</v>
      </c>
      <c r="E277">
        <v>2024</v>
      </c>
      <c r="F277" s="4">
        <f t="shared" si="4"/>
        <v>45422</v>
      </c>
      <c r="G277" s="3" t="s">
        <v>54</v>
      </c>
      <c r="H277" s="3">
        <v>32</v>
      </c>
      <c r="I277" s="3" t="s">
        <v>32</v>
      </c>
      <c r="J277" s="3" t="s">
        <v>51</v>
      </c>
      <c r="K277" s="3" t="s">
        <v>34</v>
      </c>
      <c r="L277" s="3" t="s">
        <v>64</v>
      </c>
      <c r="M277" s="3">
        <v>360.32</v>
      </c>
      <c r="N277" s="3">
        <v>3</v>
      </c>
      <c r="O277" s="3">
        <v>5</v>
      </c>
      <c r="P277" s="3" t="s">
        <v>654</v>
      </c>
      <c r="Q277" s="3">
        <v>2</v>
      </c>
      <c r="R277" s="3">
        <v>1</v>
      </c>
      <c r="S277" s="3">
        <v>1026.912</v>
      </c>
    </row>
    <row r="278" spans="1:19" x14ac:dyDescent="0.35">
      <c r="A278" s="3" t="s">
        <v>411</v>
      </c>
      <c r="B278" s="3">
        <v>1276</v>
      </c>
      <c r="C278">
        <v>31</v>
      </c>
      <c r="D278">
        <v>5</v>
      </c>
      <c r="E278">
        <v>2024</v>
      </c>
      <c r="F278" s="4">
        <f t="shared" si="4"/>
        <v>45443</v>
      </c>
      <c r="G278" s="3" t="s">
        <v>270</v>
      </c>
      <c r="H278" s="3">
        <v>44</v>
      </c>
      <c r="I278" s="3" t="s">
        <v>20</v>
      </c>
      <c r="J278" s="3" t="s">
        <v>46</v>
      </c>
      <c r="K278" s="3" t="s">
        <v>41</v>
      </c>
      <c r="L278" s="3" t="s">
        <v>96</v>
      </c>
      <c r="M278" s="3">
        <v>1154.1400000000001</v>
      </c>
      <c r="N278" s="3">
        <v>3</v>
      </c>
      <c r="O278" s="3">
        <v>10</v>
      </c>
      <c r="P278" s="3" t="s">
        <v>24</v>
      </c>
      <c r="Q278" s="3">
        <v>2</v>
      </c>
      <c r="R278" s="3">
        <v>4</v>
      </c>
      <c r="S278" s="3">
        <v>3116.1779999999999</v>
      </c>
    </row>
    <row r="279" spans="1:19" x14ac:dyDescent="0.35">
      <c r="A279" s="3" t="s">
        <v>412</v>
      </c>
      <c r="B279" s="3">
        <v>1277</v>
      </c>
      <c r="C279">
        <v>23</v>
      </c>
      <c r="D279">
        <v>2</v>
      </c>
      <c r="E279">
        <v>2024</v>
      </c>
      <c r="F279" s="4">
        <f t="shared" si="4"/>
        <v>45345</v>
      </c>
      <c r="G279" s="3" t="s">
        <v>310</v>
      </c>
      <c r="H279" s="3">
        <v>51</v>
      </c>
      <c r="I279" s="3" t="s">
        <v>20</v>
      </c>
      <c r="J279" s="3" t="s">
        <v>51</v>
      </c>
      <c r="K279" s="3" t="s">
        <v>34</v>
      </c>
      <c r="L279" s="3" t="s">
        <v>42</v>
      </c>
      <c r="M279" s="3">
        <v>479.59</v>
      </c>
      <c r="N279" s="3">
        <v>2</v>
      </c>
      <c r="O279" s="3">
        <v>5</v>
      </c>
      <c r="P279" s="3" t="s">
        <v>29</v>
      </c>
      <c r="Q279" s="3">
        <v>2</v>
      </c>
      <c r="R279" s="3">
        <v>7</v>
      </c>
      <c r="S279" s="3">
        <v>911.221</v>
      </c>
    </row>
    <row r="280" spans="1:19" x14ac:dyDescent="0.35">
      <c r="A280" s="3" t="s">
        <v>413</v>
      </c>
      <c r="B280" s="3">
        <v>1278</v>
      </c>
      <c r="C280">
        <v>29</v>
      </c>
      <c r="D280">
        <v>4</v>
      </c>
      <c r="E280">
        <v>2024</v>
      </c>
      <c r="F280" s="4">
        <f t="shared" si="4"/>
        <v>45411</v>
      </c>
      <c r="G280" s="3" t="s">
        <v>57</v>
      </c>
      <c r="H280" s="3">
        <v>55</v>
      </c>
      <c r="I280" s="3" t="s">
        <v>20</v>
      </c>
      <c r="J280" s="3" t="s">
        <v>46</v>
      </c>
      <c r="K280" s="3" t="s">
        <v>38</v>
      </c>
      <c r="L280" s="3" t="s">
        <v>55</v>
      </c>
      <c r="M280" s="3">
        <v>474.9</v>
      </c>
      <c r="N280" s="3">
        <v>2</v>
      </c>
      <c r="O280" s="3">
        <v>0</v>
      </c>
      <c r="P280" s="3" t="s">
        <v>29</v>
      </c>
      <c r="Q280" s="3">
        <v>4</v>
      </c>
      <c r="R280" s="3">
        <v>7</v>
      </c>
      <c r="S280" s="3">
        <v>949.8</v>
      </c>
    </row>
    <row r="281" spans="1:19" x14ac:dyDescent="0.35">
      <c r="A281" s="3" t="s">
        <v>414</v>
      </c>
      <c r="B281" s="3">
        <v>1279</v>
      </c>
      <c r="C281">
        <v>9</v>
      </c>
      <c r="D281">
        <v>6</v>
      </c>
      <c r="E281">
        <v>2024</v>
      </c>
      <c r="F281" s="4">
        <f t="shared" si="4"/>
        <v>45452</v>
      </c>
      <c r="G281" s="3" t="s">
        <v>98</v>
      </c>
      <c r="H281" s="3">
        <v>50</v>
      </c>
      <c r="I281" s="3" t="s">
        <v>32</v>
      </c>
      <c r="J281" s="3" t="s">
        <v>33</v>
      </c>
      <c r="K281" s="3" t="s">
        <v>38</v>
      </c>
      <c r="L281" s="3" t="s">
        <v>48</v>
      </c>
      <c r="M281" s="3">
        <v>421.66</v>
      </c>
      <c r="N281" s="3">
        <v>2</v>
      </c>
      <c r="O281" s="3">
        <v>10</v>
      </c>
      <c r="P281" s="3" t="s">
        <v>24</v>
      </c>
      <c r="Q281" s="3">
        <v>4</v>
      </c>
      <c r="R281" s="3">
        <v>6</v>
      </c>
      <c r="S281" s="3">
        <v>758.98800000000006</v>
      </c>
    </row>
    <row r="282" spans="1:19" x14ac:dyDescent="0.35">
      <c r="A282" s="3" t="s">
        <v>415</v>
      </c>
      <c r="B282" s="3">
        <v>1280</v>
      </c>
      <c r="C282">
        <v>25</v>
      </c>
      <c r="D282">
        <v>4</v>
      </c>
      <c r="E282">
        <v>2024</v>
      </c>
      <c r="F282" s="4">
        <f t="shared" si="4"/>
        <v>45407</v>
      </c>
      <c r="G282" s="3" t="s">
        <v>315</v>
      </c>
      <c r="H282" s="3"/>
      <c r="I282" s="3" t="s">
        <v>32</v>
      </c>
      <c r="J282" s="3" t="s">
        <v>655</v>
      </c>
      <c r="K282" s="3" t="s">
        <v>47</v>
      </c>
      <c r="L282" s="3" t="s">
        <v>125</v>
      </c>
      <c r="M282" s="3">
        <v>658.86</v>
      </c>
      <c r="N282" s="3">
        <v>2</v>
      </c>
      <c r="O282" s="3">
        <v>5</v>
      </c>
      <c r="P282" s="3" t="s">
        <v>29</v>
      </c>
      <c r="Q282" s="3"/>
      <c r="R282" s="3">
        <v>8</v>
      </c>
      <c r="S282" s="3">
        <v>1251.8340000000001</v>
      </c>
    </row>
    <row r="283" spans="1:19" x14ac:dyDescent="0.35">
      <c r="A283" s="3" t="s">
        <v>416</v>
      </c>
      <c r="B283" s="3">
        <v>1281</v>
      </c>
      <c r="C283">
        <v>15</v>
      </c>
      <c r="D283">
        <v>3</v>
      </c>
      <c r="E283">
        <v>2024</v>
      </c>
      <c r="F283" s="4">
        <f t="shared" si="4"/>
        <v>45366</v>
      </c>
      <c r="G283" s="3" t="s">
        <v>216</v>
      </c>
      <c r="H283" s="3">
        <v>32</v>
      </c>
      <c r="I283" s="3" t="s">
        <v>20</v>
      </c>
      <c r="J283" s="3" t="s">
        <v>33</v>
      </c>
      <c r="K283" s="3" t="s">
        <v>34</v>
      </c>
      <c r="L283" s="3" t="s">
        <v>23</v>
      </c>
      <c r="M283" s="3">
        <v>201.89</v>
      </c>
      <c r="N283" s="3">
        <v>2</v>
      </c>
      <c r="O283" s="3">
        <v>5</v>
      </c>
      <c r="P283" s="3" t="s">
        <v>24</v>
      </c>
      <c r="Q283" s="3">
        <v>1</v>
      </c>
      <c r="R283" s="3">
        <v>6</v>
      </c>
      <c r="S283" s="3">
        <v>383.59100000000001</v>
      </c>
    </row>
    <row r="284" spans="1:19" x14ac:dyDescent="0.35">
      <c r="A284" s="3" t="s">
        <v>417</v>
      </c>
      <c r="B284" s="3">
        <v>1282</v>
      </c>
      <c r="C284">
        <v>22</v>
      </c>
      <c r="D284">
        <v>4</v>
      </c>
      <c r="E284">
        <v>2024</v>
      </c>
      <c r="F284" s="4">
        <f t="shared" si="4"/>
        <v>45404</v>
      </c>
      <c r="G284" s="3" t="s">
        <v>26</v>
      </c>
      <c r="H284" s="3">
        <v>47</v>
      </c>
      <c r="I284" s="3" t="s">
        <v>32</v>
      </c>
      <c r="J284" s="3" t="s">
        <v>33</v>
      </c>
      <c r="K284" s="3" t="s">
        <v>47</v>
      </c>
      <c r="L284" s="3" t="s">
        <v>48</v>
      </c>
      <c r="M284" s="3">
        <v>673.38</v>
      </c>
      <c r="N284" s="3">
        <v>4</v>
      </c>
      <c r="O284" s="3">
        <v>5</v>
      </c>
      <c r="P284" s="3" t="s">
        <v>654</v>
      </c>
      <c r="Q284" s="3"/>
      <c r="R284" s="3">
        <v>3</v>
      </c>
      <c r="S284" s="3">
        <v>2558.8440000000001</v>
      </c>
    </row>
    <row r="285" spans="1:19" x14ac:dyDescent="0.35">
      <c r="A285" s="3" t="s">
        <v>418</v>
      </c>
      <c r="B285" s="3">
        <v>1283</v>
      </c>
      <c r="C285">
        <v>13</v>
      </c>
      <c r="D285">
        <v>4</v>
      </c>
      <c r="E285">
        <v>2024</v>
      </c>
      <c r="F285" s="4">
        <f t="shared" si="4"/>
        <v>45395</v>
      </c>
      <c r="G285" s="3" t="s">
        <v>419</v>
      </c>
      <c r="H285" s="3">
        <v>59</v>
      </c>
      <c r="I285" s="3" t="s">
        <v>32</v>
      </c>
      <c r="J285" s="3" t="s">
        <v>21</v>
      </c>
      <c r="K285" s="3" t="s">
        <v>22</v>
      </c>
      <c r="L285" s="3" t="s">
        <v>23</v>
      </c>
      <c r="M285" s="3">
        <v>659.21</v>
      </c>
      <c r="N285" s="3">
        <v>4</v>
      </c>
      <c r="O285" s="3">
        <v>10</v>
      </c>
      <c r="P285" s="3" t="s">
        <v>653</v>
      </c>
      <c r="Q285" s="3">
        <v>1</v>
      </c>
      <c r="R285" s="3">
        <v>4</v>
      </c>
      <c r="S285" s="3">
        <v>2373.1559999999999</v>
      </c>
    </row>
    <row r="286" spans="1:19" x14ac:dyDescent="0.35">
      <c r="A286" s="3" t="s">
        <v>420</v>
      </c>
      <c r="B286" s="3">
        <v>1284</v>
      </c>
      <c r="C286">
        <v>5</v>
      </c>
      <c r="D286">
        <v>12</v>
      </c>
      <c r="E286">
        <v>2024</v>
      </c>
      <c r="F286" s="4">
        <f t="shared" si="4"/>
        <v>45631</v>
      </c>
      <c r="G286" s="3" t="s">
        <v>118</v>
      </c>
      <c r="H286" s="3">
        <v>34</v>
      </c>
      <c r="I286" s="3" t="s">
        <v>32</v>
      </c>
      <c r="J286" s="3" t="s">
        <v>21</v>
      </c>
      <c r="K286" s="3" t="s">
        <v>34</v>
      </c>
      <c r="L286" s="3" t="s">
        <v>48</v>
      </c>
      <c r="M286" s="3">
        <v>919.04</v>
      </c>
      <c r="N286" s="3">
        <v>3</v>
      </c>
      <c r="O286" s="3">
        <v>15</v>
      </c>
      <c r="P286" s="3" t="s">
        <v>654</v>
      </c>
      <c r="Q286" s="3">
        <v>2</v>
      </c>
      <c r="R286" s="3">
        <v>3</v>
      </c>
      <c r="S286" s="3">
        <v>2343.5520000000001</v>
      </c>
    </row>
    <row r="287" spans="1:19" x14ac:dyDescent="0.35">
      <c r="A287" s="3" t="s">
        <v>421</v>
      </c>
      <c r="B287" s="3">
        <v>1285</v>
      </c>
      <c r="C287">
        <v>10</v>
      </c>
      <c r="D287">
        <v>9</v>
      </c>
      <c r="E287">
        <v>2024</v>
      </c>
      <c r="F287" s="4">
        <f t="shared" si="4"/>
        <v>45545</v>
      </c>
      <c r="G287" s="3" t="s">
        <v>164</v>
      </c>
      <c r="H287" s="3">
        <v>22</v>
      </c>
      <c r="I287" s="3" t="s">
        <v>32</v>
      </c>
      <c r="J287" s="3" t="s">
        <v>21</v>
      </c>
      <c r="K287" s="3" t="s">
        <v>41</v>
      </c>
      <c r="L287" s="3" t="s">
        <v>125</v>
      </c>
      <c r="M287" s="3">
        <v>1003.71</v>
      </c>
      <c r="N287" s="3">
        <v>1</v>
      </c>
      <c r="O287" s="3">
        <v>10</v>
      </c>
      <c r="P287" s="3" t="s">
        <v>653</v>
      </c>
      <c r="Q287" s="3"/>
      <c r="R287" s="3">
        <v>1</v>
      </c>
      <c r="S287" s="3">
        <v>903.33900000000006</v>
      </c>
    </row>
    <row r="288" spans="1:19" x14ac:dyDescent="0.35">
      <c r="A288" s="3" t="s">
        <v>422</v>
      </c>
      <c r="B288" s="3">
        <v>1286</v>
      </c>
      <c r="C288">
        <v>14</v>
      </c>
      <c r="D288">
        <v>8</v>
      </c>
      <c r="E288">
        <v>2024</v>
      </c>
      <c r="F288" s="4">
        <f t="shared" si="4"/>
        <v>45518</v>
      </c>
      <c r="G288" s="3" t="s">
        <v>93</v>
      </c>
      <c r="H288" s="3">
        <v>46</v>
      </c>
      <c r="I288" s="3" t="s">
        <v>20</v>
      </c>
      <c r="J288" s="3" t="s">
        <v>21</v>
      </c>
      <c r="K288" s="3" t="s">
        <v>22</v>
      </c>
      <c r="L288" s="3" t="s">
        <v>55</v>
      </c>
      <c r="M288" s="3">
        <v>539.72</v>
      </c>
      <c r="N288" s="3">
        <v>3</v>
      </c>
      <c r="O288" s="3">
        <v>20</v>
      </c>
      <c r="P288" s="3" t="s">
        <v>24</v>
      </c>
      <c r="Q288" s="3">
        <v>3</v>
      </c>
      <c r="R288" s="3">
        <v>5</v>
      </c>
      <c r="S288" s="3">
        <v>1295.328</v>
      </c>
    </row>
    <row r="289" spans="1:19" x14ac:dyDescent="0.35">
      <c r="A289" s="3" t="s">
        <v>423</v>
      </c>
      <c r="B289" s="3">
        <v>1287</v>
      </c>
      <c r="C289">
        <v>21</v>
      </c>
      <c r="D289">
        <v>4</v>
      </c>
      <c r="E289">
        <v>2024</v>
      </c>
      <c r="F289" s="4">
        <f t="shared" si="4"/>
        <v>45403</v>
      </c>
      <c r="G289" s="3" t="s">
        <v>63</v>
      </c>
      <c r="H289" s="3">
        <v>21</v>
      </c>
      <c r="I289" s="3" t="s">
        <v>32</v>
      </c>
      <c r="J289" s="3" t="s">
        <v>46</v>
      </c>
      <c r="K289" s="3" t="s">
        <v>22</v>
      </c>
      <c r="L289" s="3" t="s">
        <v>48</v>
      </c>
      <c r="M289" s="3">
        <v>376.75</v>
      </c>
      <c r="N289" s="3">
        <v>1</v>
      </c>
      <c r="O289" s="3">
        <v>10</v>
      </c>
      <c r="P289" s="3" t="s">
        <v>653</v>
      </c>
      <c r="Q289" s="3">
        <v>2</v>
      </c>
      <c r="R289" s="3">
        <v>1</v>
      </c>
      <c r="S289" s="3">
        <v>339.07499999999999</v>
      </c>
    </row>
    <row r="290" spans="1:19" x14ac:dyDescent="0.35">
      <c r="A290" s="3" t="s">
        <v>424</v>
      </c>
      <c r="B290" s="3">
        <v>1288</v>
      </c>
      <c r="C290">
        <v>8</v>
      </c>
      <c r="D290">
        <v>4</v>
      </c>
      <c r="E290">
        <v>2024</v>
      </c>
      <c r="F290" s="4">
        <f t="shared" si="4"/>
        <v>45390</v>
      </c>
      <c r="G290" s="3" t="s">
        <v>134</v>
      </c>
      <c r="H290" s="3">
        <v>27</v>
      </c>
      <c r="I290" s="3" t="s">
        <v>32</v>
      </c>
      <c r="J290" s="3" t="s">
        <v>51</v>
      </c>
      <c r="K290" s="3" t="s">
        <v>41</v>
      </c>
      <c r="L290" s="3" t="s">
        <v>125</v>
      </c>
      <c r="M290" s="3">
        <v>326.02</v>
      </c>
      <c r="N290" s="3">
        <v>2</v>
      </c>
      <c r="O290" s="3">
        <v>5</v>
      </c>
      <c r="P290" s="3" t="s">
        <v>654</v>
      </c>
      <c r="Q290" s="3">
        <v>5</v>
      </c>
      <c r="R290" s="3">
        <v>1</v>
      </c>
      <c r="S290" s="3">
        <v>619.43799999999999</v>
      </c>
    </row>
    <row r="291" spans="1:19" x14ac:dyDescent="0.35">
      <c r="A291" s="3" t="s">
        <v>425</v>
      </c>
      <c r="B291" s="3">
        <v>1289</v>
      </c>
      <c r="C291">
        <v>1</v>
      </c>
      <c r="D291">
        <v>6</v>
      </c>
      <c r="E291">
        <v>2024</v>
      </c>
      <c r="F291" s="4">
        <f t="shared" si="4"/>
        <v>45444</v>
      </c>
      <c r="G291" s="3" t="s">
        <v>148</v>
      </c>
      <c r="H291" s="3">
        <v>34</v>
      </c>
      <c r="I291" s="3" t="s">
        <v>32</v>
      </c>
      <c r="J291" s="3" t="s">
        <v>27</v>
      </c>
      <c r="K291" s="3" t="s">
        <v>22</v>
      </c>
      <c r="L291" s="3" t="s">
        <v>35</v>
      </c>
      <c r="M291" s="3">
        <v>249.66</v>
      </c>
      <c r="N291" s="3">
        <v>1</v>
      </c>
      <c r="O291" s="3">
        <v>0</v>
      </c>
      <c r="P291" s="3" t="s">
        <v>653</v>
      </c>
      <c r="Q291" s="3">
        <v>1</v>
      </c>
      <c r="R291" s="3">
        <v>2</v>
      </c>
      <c r="S291" s="3">
        <v>249.66</v>
      </c>
    </row>
    <row r="292" spans="1:19" x14ac:dyDescent="0.35">
      <c r="A292" s="3" t="s">
        <v>426</v>
      </c>
      <c r="B292" s="3">
        <v>1290</v>
      </c>
      <c r="C292">
        <v>14</v>
      </c>
      <c r="D292">
        <v>12</v>
      </c>
      <c r="E292">
        <v>2024</v>
      </c>
      <c r="F292" s="4">
        <f t="shared" si="4"/>
        <v>45640</v>
      </c>
      <c r="G292" s="3" t="s">
        <v>156</v>
      </c>
      <c r="H292" s="3">
        <v>27</v>
      </c>
      <c r="I292" s="3" t="s">
        <v>32</v>
      </c>
      <c r="J292" s="3" t="s">
        <v>33</v>
      </c>
      <c r="K292" s="3" t="s">
        <v>34</v>
      </c>
      <c r="L292" s="3" t="s">
        <v>55</v>
      </c>
      <c r="M292" s="3">
        <v>88.02</v>
      </c>
      <c r="N292" s="3">
        <v>3</v>
      </c>
      <c r="O292" s="3">
        <v>10</v>
      </c>
      <c r="P292" s="3" t="s">
        <v>24</v>
      </c>
      <c r="Q292" s="3">
        <v>4</v>
      </c>
      <c r="R292" s="3">
        <v>4</v>
      </c>
      <c r="S292" s="3">
        <v>237.654</v>
      </c>
    </row>
    <row r="293" spans="1:19" x14ac:dyDescent="0.35">
      <c r="A293" s="3" t="s">
        <v>427</v>
      </c>
      <c r="B293" s="3">
        <v>1291</v>
      </c>
      <c r="C293">
        <v>3</v>
      </c>
      <c r="D293">
        <v>12</v>
      </c>
      <c r="E293">
        <v>2024</v>
      </c>
      <c r="F293" s="4">
        <f t="shared" si="4"/>
        <v>45629</v>
      </c>
      <c r="G293" s="3" t="s">
        <v>174</v>
      </c>
      <c r="H293" s="3">
        <v>34</v>
      </c>
      <c r="I293" s="3" t="s">
        <v>20</v>
      </c>
      <c r="J293" s="3" t="s">
        <v>46</v>
      </c>
      <c r="K293" s="3" t="s">
        <v>47</v>
      </c>
      <c r="L293" s="3" t="s">
        <v>28</v>
      </c>
      <c r="M293" s="3">
        <v>424.09</v>
      </c>
      <c r="N293" s="3">
        <v>3</v>
      </c>
      <c r="O293" s="3">
        <v>10</v>
      </c>
      <c r="P293" s="3" t="s">
        <v>653</v>
      </c>
      <c r="Q293" s="3">
        <v>1</v>
      </c>
      <c r="R293" s="3">
        <v>6</v>
      </c>
      <c r="S293" s="3">
        <v>1145.0429999999999</v>
      </c>
    </row>
    <row r="294" spans="1:19" x14ac:dyDescent="0.35">
      <c r="A294" s="3" t="s">
        <v>428</v>
      </c>
      <c r="B294" s="3">
        <v>1292</v>
      </c>
      <c r="C294">
        <v>12</v>
      </c>
      <c r="D294">
        <v>7</v>
      </c>
      <c r="E294">
        <v>2024</v>
      </c>
      <c r="F294" s="4">
        <f t="shared" si="4"/>
        <v>45485</v>
      </c>
      <c r="G294" s="3" t="s">
        <v>72</v>
      </c>
      <c r="H294" s="3">
        <v>37</v>
      </c>
      <c r="I294" s="3" t="s">
        <v>20</v>
      </c>
      <c r="J294" s="3" t="s">
        <v>27</v>
      </c>
      <c r="K294" s="3" t="s">
        <v>22</v>
      </c>
      <c r="L294" s="3" t="s">
        <v>23</v>
      </c>
      <c r="M294" s="3">
        <v>338.89</v>
      </c>
      <c r="N294" s="3">
        <v>1</v>
      </c>
      <c r="O294" s="3">
        <v>5</v>
      </c>
      <c r="P294" s="3" t="s">
        <v>29</v>
      </c>
      <c r="Q294" s="3">
        <v>4</v>
      </c>
      <c r="R294" s="3">
        <v>8</v>
      </c>
      <c r="S294" s="3">
        <v>321.94549999999998</v>
      </c>
    </row>
    <row r="295" spans="1:19" x14ac:dyDescent="0.35">
      <c r="A295" s="3" t="s">
        <v>429</v>
      </c>
      <c r="B295" s="3">
        <v>1293</v>
      </c>
      <c r="C295">
        <v>5</v>
      </c>
      <c r="D295">
        <v>11</v>
      </c>
      <c r="E295">
        <v>2024</v>
      </c>
      <c r="F295" s="4">
        <f t="shared" si="4"/>
        <v>45601</v>
      </c>
      <c r="G295" s="3" t="s">
        <v>50</v>
      </c>
      <c r="H295" s="3">
        <v>41</v>
      </c>
      <c r="I295" s="3" t="s">
        <v>32</v>
      </c>
      <c r="J295" s="3" t="s">
        <v>46</v>
      </c>
      <c r="K295" s="3" t="s">
        <v>34</v>
      </c>
      <c r="L295" s="3" t="s">
        <v>79</v>
      </c>
      <c r="M295" s="3">
        <v>1160.3699999999999</v>
      </c>
      <c r="N295" s="3">
        <v>4</v>
      </c>
      <c r="O295" s="3">
        <v>0</v>
      </c>
      <c r="P295" s="3" t="s">
        <v>654</v>
      </c>
      <c r="Q295" s="3"/>
      <c r="R295" s="3">
        <v>3</v>
      </c>
      <c r="S295" s="3">
        <v>4641.4799999999996</v>
      </c>
    </row>
    <row r="296" spans="1:19" x14ac:dyDescent="0.35">
      <c r="A296" s="3" t="s">
        <v>430</v>
      </c>
      <c r="B296" s="3">
        <v>1294</v>
      </c>
      <c r="C296">
        <v>11</v>
      </c>
      <c r="D296">
        <v>6</v>
      </c>
      <c r="E296">
        <v>2024</v>
      </c>
      <c r="F296" s="4">
        <f t="shared" si="4"/>
        <v>45454</v>
      </c>
      <c r="G296" s="3" t="s">
        <v>233</v>
      </c>
      <c r="H296" s="3">
        <v>22</v>
      </c>
      <c r="I296" s="3" t="s">
        <v>32</v>
      </c>
      <c r="J296" s="3" t="s">
        <v>46</v>
      </c>
      <c r="K296" s="3" t="s">
        <v>38</v>
      </c>
      <c r="L296" s="3" t="s">
        <v>96</v>
      </c>
      <c r="M296" s="3">
        <v>678.1</v>
      </c>
      <c r="N296" s="3">
        <v>2</v>
      </c>
      <c r="O296" s="3">
        <v>0</v>
      </c>
      <c r="P296" s="3" t="s">
        <v>29</v>
      </c>
      <c r="Q296" s="3">
        <v>5</v>
      </c>
      <c r="R296" s="3">
        <v>1</v>
      </c>
      <c r="S296" s="3">
        <v>1356.2</v>
      </c>
    </row>
    <row r="297" spans="1:19" x14ac:dyDescent="0.35">
      <c r="A297" s="3" t="s">
        <v>431</v>
      </c>
      <c r="B297" s="3">
        <v>1295</v>
      </c>
      <c r="C297">
        <v>26</v>
      </c>
      <c r="D297">
        <v>7</v>
      </c>
      <c r="E297">
        <v>2024</v>
      </c>
      <c r="F297" s="4">
        <f t="shared" si="4"/>
        <v>45499</v>
      </c>
      <c r="G297" s="3" t="s">
        <v>143</v>
      </c>
      <c r="H297" s="3">
        <v>51</v>
      </c>
      <c r="I297" s="3" t="s">
        <v>32</v>
      </c>
      <c r="J297" s="3" t="s">
        <v>33</v>
      </c>
      <c r="K297" s="3" t="s">
        <v>34</v>
      </c>
      <c r="L297" s="3" t="s">
        <v>79</v>
      </c>
      <c r="M297" s="3">
        <v>429.79</v>
      </c>
      <c r="N297" s="3">
        <v>2</v>
      </c>
      <c r="O297" s="3">
        <v>20</v>
      </c>
      <c r="P297" s="3" t="s">
        <v>24</v>
      </c>
      <c r="Q297" s="3"/>
      <c r="R297" s="3">
        <v>3</v>
      </c>
      <c r="S297" s="3">
        <v>687.66399999999999</v>
      </c>
    </row>
    <row r="298" spans="1:19" x14ac:dyDescent="0.35">
      <c r="A298" s="3" t="s">
        <v>432</v>
      </c>
      <c r="B298" s="3">
        <v>1296</v>
      </c>
      <c r="C298">
        <v>17</v>
      </c>
      <c r="D298">
        <v>6</v>
      </c>
      <c r="E298">
        <v>2024</v>
      </c>
      <c r="F298" s="4">
        <f t="shared" si="4"/>
        <v>45460</v>
      </c>
      <c r="G298" s="3" t="s">
        <v>57</v>
      </c>
      <c r="H298" s="3">
        <v>23</v>
      </c>
      <c r="I298" s="3" t="s">
        <v>32</v>
      </c>
      <c r="J298" s="3" t="s">
        <v>51</v>
      </c>
      <c r="K298" s="3" t="s">
        <v>47</v>
      </c>
      <c r="L298" s="3" t="s">
        <v>55</v>
      </c>
      <c r="M298" s="3">
        <v>704.95</v>
      </c>
      <c r="N298" s="3">
        <v>3</v>
      </c>
      <c r="O298" s="3">
        <v>10</v>
      </c>
      <c r="P298" s="3" t="s">
        <v>653</v>
      </c>
      <c r="Q298" s="3">
        <v>5</v>
      </c>
      <c r="R298" s="3">
        <v>3</v>
      </c>
      <c r="S298" s="3">
        <v>1903.365</v>
      </c>
    </row>
    <row r="299" spans="1:19" x14ac:dyDescent="0.35">
      <c r="A299" s="3" t="s">
        <v>433</v>
      </c>
      <c r="B299" s="3">
        <v>1297</v>
      </c>
      <c r="C299">
        <v>9</v>
      </c>
      <c r="D299">
        <v>6</v>
      </c>
      <c r="E299">
        <v>2024</v>
      </c>
      <c r="F299" s="4">
        <f t="shared" si="4"/>
        <v>45452</v>
      </c>
      <c r="G299" s="3" t="s">
        <v>201</v>
      </c>
      <c r="H299" s="3">
        <v>19</v>
      </c>
      <c r="I299" s="3" t="s">
        <v>32</v>
      </c>
      <c r="J299" s="3" t="s">
        <v>21</v>
      </c>
      <c r="K299" s="3" t="s">
        <v>34</v>
      </c>
      <c r="L299" s="3" t="s">
        <v>28</v>
      </c>
      <c r="M299" s="3">
        <v>184.25</v>
      </c>
      <c r="N299" s="3">
        <v>4</v>
      </c>
      <c r="O299" s="3">
        <v>0</v>
      </c>
      <c r="P299" s="3" t="s">
        <v>29</v>
      </c>
      <c r="Q299" s="3">
        <v>1</v>
      </c>
      <c r="R299" s="3">
        <v>5</v>
      </c>
      <c r="S299" s="3">
        <v>737</v>
      </c>
    </row>
    <row r="300" spans="1:19" x14ac:dyDescent="0.35">
      <c r="A300" s="3" t="s">
        <v>434</v>
      </c>
      <c r="B300" s="3">
        <v>1298</v>
      </c>
      <c r="C300">
        <v>8</v>
      </c>
      <c r="D300">
        <v>3</v>
      </c>
      <c r="E300">
        <v>2024</v>
      </c>
      <c r="F300" s="4">
        <f t="shared" si="4"/>
        <v>45359</v>
      </c>
      <c r="G300" s="3" t="s">
        <v>289</v>
      </c>
      <c r="H300" s="3">
        <v>30</v>
      </c>
      <c r="I300" s="3" t="s">
        <v>32</v>
      </c>
      <c r="J300" s="3" t="s">
        <v>51</v>
      </c>
      <c r="K300" s="3" t="s">
        <v>41</v>
      </c>
      <c r="L300" s="3" t="s">
        <v>23</v>
      </c>
      <c r="M300" s="3">
        <v>543.97</v>
      </c>
      <c r="N300" s="3">
        <v>1</v>
      </c>
      <c r="O300" s="3">
        <v>0</v>
      </c>
      <c r="P300" s="3" t="s">
        <v>29</v>
      </c>
      <c r="Q300" s="3">
        <v>4</v>
      </c>
      <c r="R300" s="3">
        <v>4</v>
      </c>
      <c r="S300" s="3">
        <v>543.97</v>
      </c>
    </row>
    <row r="301" spans="1:19" x14ac:dyDescent="0.35">
      <c r="A301" s="3" t="s">
        <v>435</v>
      </c>
      <c r="B301" s="3">
        <v>1299</v>
      </c>
      <c r="C301">
        <v>15</v>
      </c>
      <c r="D301">
        <v>10</v>
      </c>
      <c r="E301">
        <v>2024</v>
      </c>
      <c r="F301" s="4">
        <f t="shared" si="4"/>
        <v>45580</v>
      </c>
      <c r="G301" s="3" t="s">
        <v>436</v>
      </c>
      <c r="H301" s="3">
        <v>28</v>
      </c>
      <c r="I301" s="3" t="s">
        <v>20</v>
      </c>
      <c r="J301" s="3" t="s">
        <v>33</v>
      </c>
      <c r="K301" s="3" t="s">
        <v>47</v>
      </c>
      <c r="L301" s="3" t="s">
        <v>28</v>
      </c>
      <c r="M301" s="3">
        <v>758.96</v>
      </c>
      <c r="N301" s="3">
        <v>2</v>
      </c>
      <c r="O301" s="3">
        <v>15</v>
      </c>
      <c r="P301" s="3" t="s">
        <v>653</v>
      </c>
      <c r="Q301" s="3"/>
      <c r="R301" s="3">
        <v>4</v>
      </c>
      <c r="S301" s="3">
        <v>1290.232</v>
      </c>
    </row>
    <row r="302" spans="1:19" x14ac:dyDescent="0.35">
      <c r="A302" s="3" t="s">
        <v>437</v>
      </c>
      <c r="B302" s="3">
        <v>1300</v>
      </c>
      <c r="C302">
        <v>3</v>
      </c>
      <c r="D302">
        <v>10</v>
      </c>
      <c r="E302">
        <v>2024</v>
      </c>
      <c r="F302" s="4">
        <f t="shared" si="4"/>
        <v>45568</v>
      </c>
      <c r="G302" s="3" t="s">
        <v>63</v>
      </c>
      <c r="H302" s="3">
        <v>40</v>
      </c>
      <c r="I302" s="3" t="s">
        <v>32</v>
      </c>
      <c r="J302" s="3" t="s">
        <v>33</v>
      </c>
      <c r="K302" s="3" t="s">
        <v>38</v>
      </c>
      <c r="L302" s="3" t="s">
        <v>48</v>
      </c>
      <c r="M302" s="3">
        <v>596.9</v>
      </c>
      <c r="N302" s="3">
        <v>4</v>
      </c>
      <c r="O302" s="3">
        <v>15</v>
      </c>
      <c r="P302" s="3" t="s">
        <v>653</v>
      </c>
      <c r="Q302" s="3">
        <v>5</v>
      </c>
      <c r="R302" s="3">
        <v>9</v>
      </c>
      <c r="S302" s="3">
        <v>2029.46</v>
      </c>
    </row>
    <row r="303" spans="1:19" x14ac:dyDescent="0.35">
      <c r="A303" s="3" t="s">
        <v>438</v>
      </c>
      <c r="B303" s="3">
        <v>1301</v>
      </c>
      <c r="C303">
        <v>30</v>
      </c>
      <c r="D303">
        <v>10</v>
      </c>
      <c r="E303">
        <v>2024</v>
      </c>
      <c r="F303" s="4">
        <f t="shared" si="4"/>
        <v>45595</v>
      </c>
      <c r="G303" s="3" t="s">
        <v>278</v>
      </c>
      <c r="H303" s="3">
        <v>33</v>
      </c>
      <c r="I303" s="3" t="s">
        <v>20</v>
      </c>
      <c r="J303" s="3" t="s">
        <v>33</v>
      </c>
      <c r="K303" s="3" t="s">
        <v>41</v>
      </c>
      <c r="L303" s="3" t="s">
        <v>23</v>
      </c>
      <c r="M303" s="3">
        <v>494.1</v>
      </c>
      <c r="N303" s="3">
        <v>2</v>
      </c>
      <c r="O303" s="3">
        <v>0</v>
      </c>
      <c r="P303" s="3" t="s">
        <v>654</v>
      </c>
      <c r="Q303" s="3">
        <v>2</v>
      </c>
      <c r="R303" s="3">
        <v>7</v>
      </c>
      <c r="S303" s="3">
        <v>988.2</v>
      </c>
    </row>
    <row r="304" spans="1:19" x14ac:dyDescent="0.35">
      <c r="A304" s="3" t="s">
        <v>439</v>
      </c>
      <c r="B304" s="3">
        <v>1302</v>
      </c>
      <c r="C304">
        <v>14</v>
      </c>
      <c r="D304">
        <v>5</v>
      </c>
      <c r="E304">
        <v>2024</v>
      </c>
      <c r="F304" s="4">
        <f t="shared" si="4"/>
        <v>45426</v>
      </c>
      <c r="G304" s="3" t="s">
        <v>278</v>
      </c>
      <c r="H304" s="3">
        <v>48</v>
      </c>
      <c r="I304" s="3" t="s">
        <v>20</v>
      </c>
      <c r="J304" s="3" t="s">
        <v>27</v>
      </c>
      <c r="K304" s="3" t="s">
        <v>34</v>
      </c>
      <c r="L304" s="3" t="s">
        <v>48</v>
      </c>
      <c r="M304" s="3">
        <v>1192.74</v>
      </c>
      <c r="N304" s="3">
        <v>4</v>
      </c>
      <c r="O304" s="3">
        <v>20</v>
      </c>
      <c r="P304" s="3" t="s">
        <v>29</v>
      </c>
      <c r="Q304" s="3">
        <v>2</v>
      </c>
      <c r="R304" s="3">
        <v>4</v>
      </c>
      <c r="S304" s="3">
        <v>3816.768</v>
      </c>
    </row>
    <row r="305" spans="1:19" x14ac:dyDescent="0.35">
      <c r="A305" s="3" t="s">
        <v>440</v>
      </c>
      <c r="B305" s="3">
        <v>1303</v>
      </c>
      <c r="C305">
        <v>13</v>
      </c>
      <c r="D305">
        <v>7</v>
      </c>
      <c r="E305">
        <v>2024</v>
      </c>
      <c r="F305" s="4">
        <f t="shared" si="4"/>
        <v>45486</v>
      </c>
      <c r="G305" s="3" t="s">
        <v>50</v>
      </c>
      <c r="H305" s="3">
        <v>28</v>
      </c>
      <c r="I305" s="3" t="s">
        <v>32</v>
      </c>
      <c r="J305" s="3" t="s">
        <v>51</v>
      </c>
      <c r="K305" s="3" t="s">
        <v>47</v>
      </c>
      <c r="L305" s="3" t="s">
        <v>125</v>
      </c>
      <c r="M305" s="3">
        <v>1058.77</v>
      </c>
      <c r="N305" s="3">
        <v>4</v>
      </c>
      <c r="O305" s="3">
        <v>0</v>
      </c>
      <c r="P305" s="3" t="s">
        <v>29</v>
      </c>
      <c r="Q305" s="3"/>
      <c r="R305" s="3">
        <v>3</v>
      </c>
      <c r="S305" s="3">
        <v>4235.08</v>
      </c>
    </row>
    <row r="306" spans="1:19" x14ac:dyDescent="0.35">
      <c r="A306" s="3" t="s">
        <v>441</v>
      </c>
      <c r="B306" s="3">
        <v>1304</v>
      </c>
      <c r="C306">
        <v>7</v>
      </c>
      <c r="D306">
        <v>5</v>
      </c>
      <c r="E306">
        <v>2024</v>
      </c>
      <c r="F306" s="4">
        <f t="shared" si="4"/>
        <v>45419</v>
      </c>
      <c r="G306" s="3" t="s">
        <v>442</v>
      </c>
      <c r="H306" s="3">
        <v>33</v>
      </c>
      <c r="I306" s="3" t="s">
        <v>20</v>
      </c>
      <c r="J306" s="3" t="s">
        <v>51</v>
      </c>
      <c r="K306" s="3" t="s">
        <v>38</v>
      </c>
      <c r="L306" s="3" t="s">
        <v>55</v>
      </c>
      <c r="M306" s="3">
        <v>755.62</v>
      </c>
      <c r="N306" s="3">
        <v>3</v>
      </c>
      <c r="O306" s="3">
        <v>5</v>
      </c>
      <c r="P306" s="3" t="s">
        <v>24</v>
      </c>
      <c r="Q306" s="3">
        <v>4</v>
      </c>
      <c r="R306" s="3">
        <v>6</v>
      </c>
      <c r="S306" s="3">
        <v>2153.5169999999998</v>
      </c>
    </row>
    <row r="307" spans="1:19" x14ac:dyDescent="0.35">
      <c r="A307" s="3" t="s">
        <v>443</v>
      </c>
      <c r="B307" s="3">
        <v>1305</v>
      </c>
      <c r="C307">
        <v>2</v>
      </c>
      <c r="D307">
        <v>2</v>
      </c>
      <c r="E307">
        <v>2024</v>
      </c>
      <c r="F307" s="4">
        <f t="shared" si="4"/>
        <v>45324</v>
      </c>
      <c r="G307" s="3" t="s">
        <v>152</v>
      </c>
      <c r="H307" s="3">
        <v>25</v>
      </c>
      <c r="I307" s="3" t="s">
        <v>20</v>
      </c>
      <c r="J307" s="3" t="s">
        <v>46</v>
      </c>
      <c r="K307" s="3" t="s">
        <v>41</v>
      </c>
      <c r="L307" s="3" t="s">
        <v>125</v>
      </c>
      <c r="M307" s="3">
        <v>691.87</v>
      </c>
      <c r="N307" s="3">
        <v>2</v>
      </c>
      <c r="O307" s="3">
        <v>10</v>
      </c>
      <c r="P307" s="3" t="s">
        <v>654</v>
      </c>
      <c r="Q307" s="3"/>
      <c r="R307" s="3">
        <v>3</v>
      </c>
      <c r="S307" s="3">
        <v>1245.366</v>
      </c>
    </row>
    <row r="308" spans="1:19" x14ac:dyDescent="0.35">
      <c r="A308" s="3" t="s">
        <v>444</v>
      </c>
      <c r="B308" s="3">
        <v>1306</v>
      </c>
      <c r="C308">
        <v>24</v>
      </c>
      <c r="D308">
        <v>6</v>
      </c>
      <c r="E308">
        <v>2024</v>
      </c>
      <c r="F308" s="4">
        <f t="shared" si="4"/>
        <v>45467</v>
      </c>
      <c r="G308" s="3" t="s">
        <v>174</v>
      </c>
      <c r="H308" s="3">
        <v>21</v>
      </c>
      <c r="I308" s="3" t="s">
        <v>20</v>
      </c>
      <c r="J308" s="3" t="s">
        <v>46</v>
      </c>
      <c r="K308" s="3" t="s">
        <v>38</v>
      </c>
      <c r="L308" s="3" t="s">
        <v>64</v>
      </c>
      <c r="M308" s="3">
        <v>752.38</v>
      </c>
      <c r="N308" s="3">
        <v>1</v>
      </c>
      <c r="O308" s="3">
        <v>20</v>
      </c>
      <c r="P308" s="3" t="s">
        <v>24</v>
      </c>
      <c r="Q308" s="3">
        <v>1</v>
      </c>
      <c r="R308" s="3">
        <v>6</v>
      </c>
      <c r="S308" s="3">
        <v>601.904</v>
      </c>
    </row>
    <row r="309" spans="1:19" x14ac:dyDescent="0.35">
      <c r="A309" s="3" t="s">
        <v>445</v>
      </c>
      <c r="B309" s="3">
        <v>1307</v>
      </c>
      <c r="C309">
        <v>22</v>
      </c>
      <c r="D309">
        <v>1</v>
      </c>
      <c r="E309">
        <v>2024</v>
      </c>
      <c r="F309" s="4">
        <f t="shared" si="4"/>
        <v>45313</v>
      </c>
      <c r="G309" s="3" t="s">
        <v>403</v>
      </c>
      <c r="H309" s="3">
        <v>57</v>
      </c>
      <c r="I309" s="3" t="s">
        <v>20</v>
      </c>
      <c r="J309" s="3" t="s">
        <v>46</v>
      </c>
      <c r="K309" s="3" t="s">
        <v>34</v>
      </c>
      <c r="L309" s="3" t="s">
        <v>28</v>
      </c>
      <c r="M309" s="3">
        <v>257.55</v>
      </c>
      <c r="N309" s="3">
        <v>3</v>
      </c>
      <c r="O309" s="3">
        <v>5</v>
      </c>
      <c r="P309" s="3" t="s">
        <v>29</v>
      </c>
      <c r="Q309" s="3">
        <v>5</v>
      </c>
      <c r="R309" s="3">
        <v>9</v>
      </c>
      <c r="S309" s="3">
        <v>734.01750000000004</v>
      </c>
    </row>
    <row r="310" spans="1:19" x14ac:dyDescent="0.35">
      <c r="A310" s="3" t="s">
        <v>446</v>
      </c>
      <c r="B310" s="3">
        <v>1308</v>
      </c>
      <c r="C310">
        <v>25</v>
      </c>
      <c r="D310">
        <v>8</v>
      </c>
      <c r="E310">
        <v>2024</v>
      </c>
      <c r="F310" s="4">
        <f t="shared" si="4"/>
        <v>45529</v>
      </c>
      <c r="G310" s="3" t="s">
        <v>447</v>
      </c>
      <c r="H310" s="3">
        <v>21</v>
      </c>
      <c r="I310" s="3" t="s">
        <v>20</v>
      </c>
      <c r="J310" s="3" t="s">
        <v>33</v>
      </c>
      <c r="K310" s="3" t="s">
        <v>38</v>
      </c>
      <c r="L310" s="3" t="s">
        <v>48</v>
      </c>
      <c r="M310" s="3">
        <v>486.26</v>
      </c>
      <c r="N310" s="3">
        <v>3</v>
      </c>
      <c r="O310" s="3">
        <v>20</v>
      </c>
      <c r="P310" s="3" t="s">
        <v>24</v>
      </c>
      <c r="Q310" s="3">
        <v>1</v>
      </c>
      <c r="R310" s="3">
        <v>6</v>
      </c>
      <c r="S310" s="3">
        <v>1167.0239999999999</v>
      </c>
    </row>
    <row r="311" spans="1:19" x14ac:dyDescent="0.35">
      <c r="A311" s="3" t="s">
        <v>448</v>
      </c>
      <c r="B311" s="3">
        <v>1309</v>
      </c>
      <c r="C311">
        <v>6</v>
      </c>
      <c r="D311">
        <v>6</v>
      </c>
      <c r="E311">
        <v>2024</v>
      </c>
      <c r="F311" s="4">
        <f t="shared" si="4"/>
        <v>45449</v>
      </c>
      <c r="G311" s="3" t="s">
        <v>19</v>
      </c>
      <c r="H311" s="3">
        <v>42</v>
      </c>
      <c r="I311" s="3" t="s">
        <v>20</v>
      </c>
      <c r="J311" s="3" t="s">
        <v>51</v>
      </c>
      <c r="K311" s="3" t="s">
        <v>22</v>
      </c>
      <c r="L311" s="3" t="s">
        <v>35</v>
      </c>
      <c r="M311" s="3">
        <v>66.56</v>
      </c>
      <c r="N311" s="3">
        <v>1</v>
      </c>
      <c r="O311" s="3">
        <v>5</v>
      </c>
      <c r="P311" s="3" t="s">
        <v>29</v>
      </c>
      <c r="Q311" s="3">
        <v>2</v>
      </c>
      <c r="R311" s="3">
        <v>4</v>
      </c>
      <c r="S311" s="3">
        <v>63.231999999999999</v>
      </c>
    </row>
    <row r="312" spans="1:19" x14ac:dyDescent="0.35">
      <c r="A312" s="3" t="s">
        <v>449</v>
      </c>
      <c r="B312" s="3">
        <v>1310</v>
      </c>
      <c r="C312">
        <v>7</v>
      </c>
      <c r="D312">
        <v>2</v>
      </c>
      <c r="E312">
        <v>2024</v>
      </c>
      <c r="F312" s="4">
        <f t="shared" si="4"/>
        <v>45329</v>
      </c>
      <c r="G312" s="3" t="s">
        <v>45</v>
      </c>
      <c r="H312" s="3">
        <v>20</v>
      </c>
      <c r="I312" s="3" t="s">
        <v>32</v>
      </c>
      <c r="J312" s="3" t="s">
        <v>33</v>
      </c>
      <c r="K312" s="3" t="s">
        <v>41</v>
      </c>
      <c r="L312" s="3" t="s">
        <v>125</v>
      </c>
      <c r="M312" s="3">
        <v>581.14</v>
      </c>
      <c r="N312" s="3">
        <v>3</v>
      </c>
      <c r="O312" s="3">
        <v>10</v>
      </c>
      <c r="P312" s="3" t="s">
        <v>29</v>
      </c>
      <c r="Q312" s="3">
        <v>5</v>
      </c>
      <c r="R312" s="3">
        <v>5</v>
      </c>
      <c r="S312" s="3">
        <v>1569.078</v>
      </c>
    </row>
    <row r="313" spans="1:19" x14ac:dyDescent="0.35">
      <c r="A313" s="3" t="s">
        <v>450</v>
      </c>
      <c r="B313" s="3">
        <v>1311</v>
      </c>
      <c r="C313">
        <v>17</v>
      </c>
      <c r="D313">
        <v>8</v>
      </c>
      <c r="E313">
        <v>2024</v>
      </c>
      <c r="F313" s="4">
        <f t="shared" si="4"/>
        <v>45521</v>
      </c>
      <c r="G313" s="3" t="s">
        <v>128</v>
      </c>
      <c r="H313" s="3">
        <v>49</v>
      </c>
      <c r="I313" s="3" t="s">
        <v>20</v>
      </c>
      <c r="J313" s="3" t="s">
        <v>27</v>
      </c>
      <c r="K313" s="3" t="s">
        <v>38</v>
      </c>
      <c r="L313" s="3" t="s">
        <v>64</v>
      </c>
      <c r="M313" s="3">
        <v>660.77</v>
      </c>
      <c r="N313" s="3">
        <v>4</v>
      </c>
      <c r="O313" s="3">
        <v>10</v>
      </c>
      <c r="P313" s="3" t="s">
        <v>24</v>
      </c>
      <c r="Q313" s="3"/>
      <c r="R313" s="3">
        <v>6</v>
      </c>
      <c r="S313" s="3">
        <v>2378.7719999999999</v>
      </c>
    </row>
    <row r="314" spans="1:19" x14ac:dyDescent="0.35">
      <c r="A314" s="3" t="s">
        <v>451</v>
      </c>
      <c r="B314" s="3">
        <v>1312</v>
      </c>
      <c r="C314">
        <v>30</v>
      </c>
      <c r="D314">
        <v>12</v>
      </c>
      <c r="E314">
        <v>2024</v>
      </c>
      <c r="F314" s="4">
        <f t="shared" si="4"/>
        <v>45656</v>
      </c>
      <c r="G314" s="3" t="s">
        <v>59</v>
      </c>
      <c r="H314" s="3">
        <v>20</v>
      </c>
      <c r="I314" s="3" t="s">
        <v>20</v>
      </c>
      <c r="J314" s="3" t="s">
        <v>46</v>
      </c>
      <c r="K314" s="3" t="s">
        <v>34</v>
      </c>
      <c r="L314" s="3" t="s">
        <v>42</v>
      </c>
      <c r="M314" s="3">
        <v>288.74</v>
      </c>
      <c r="N314" s="3">
        <v>4</v>
      </c>
      <c r="O314" s="3">
        <v>15</v>
      </c>
      <c r="P314" s="3" t="s">
        <v>24</v>
      </c>
      <c r="Q314" s="3">
        <v>1</v>
      </c>
      <c r="R314" s="3">
        <v>3</v>
      </c>
      <c r="S314" s="3">
        <v>981.71600000000001</v>
      </c>
    </row>
    <row r="315" spans="1:19" x14ac:dyDescent="0.35">
      <c r="A315" s="3" t="s">
        <v>452</v>
      </c>
      <c r="B315" s="3">
        <v>1313</v>
      </c>
      <c r="C315">
        <v>20</v>
      </c>
      <c r="D315">
        <v>2</v>
      </c>
      <c r="E315">
        <v>2024</v>
      </c>
      <c r="F315" s="4">
        <f t="shared" si="4"/>
        <v>45342</v>
      </c>
      <c r="G315" s="3" t="s">
        <v>358</v>
      </c>
      <c r="H315" s="3">
        <v>44</v>
      </c>
      <c r="I315" s="3" t="s">
        <v>20</v>
      </c>
      <c r="J315" s="3" t="s">
        <v>33</v>
      </c>
      <c r="K315" s="3" t="s">
        <v>34</v>
      </c>
      <c r="L315" s="3" t="s">
        <v>79</v>
      </c>
      <c r="M315" s="3">
        <v>1157.55</v>
      </c>
      <c r="N315" s="3">
        <v>2</v>
      </c>
      <c r="O315" s="3">
        <v>5</v>
      </c>
      <c r="P315" s="3" t="s">
        <v>653</v>
      </c>
      <c r="Q315" s="3">
        <v>3</v>
      </c>
      <c r="R315" s="3">
        <v>8</v>
      </c>
      <c r="S315" s="3">
        <v>2199.3449999999998</v>
      </c>
    </row>
    <row r="316" spans="1:19" x14ac:dyDescent="0.35">
      <c r="A316" s="3" t="s">
        <v>453</v>
      </c>
      <c r="B316" s="3">
        <v>1314</v>
      </c>
      <c r="C316">
        <v>20</v>
      </c>
      <c r="D316">
        <v>9</v>
      </c>
      <c r="E316">
        <v>2024</v>
      </c>
      <c r="F316" s="4">
        <f t="shared" si="4"/>
        <v>45555</v>
      </c>
      <c r="G316" s="3" t="s">
        <v>241</v>
      </c>
      <c r="H316" s="3">
        <v>46</v>
      </c>
      <c r="I316" s="3" t="s">
        <v>32</v>
      </c>
      <c r="J316" s="3" t="s">
        <v>33</v>
      </c>
      <c r="K316" s="3" t="s">
        <v>38</v>
      </c>
      <c r="L316" s="3" t="s">
        <v>23</v>
      </c>
      <c r="M316" s="3">
        <v>1093.1600000000001</v>
      </c>
      <c r="N316" s="3">
        <v>2</v>
      </c>
      <c r="O316" s="3">
        <v>15</v>
      </c>
      <c r="P316" s="3" t="s">
        <v>653</v>
      </c>
      <c r="Q316" s="3">
        <v>4</v>
      </c>
      <c r="R316" s="3">
        <v>4</v>
      </c>
      <c r="S316" s="3">
        <v>1858.3720000000001</v>
      </c>
    </row>
    <row r="317" spans="1:19" x14ac:dyDescent="0.35">
      <c r="A317" s="3" t="s">
        <v>454</v>
      </c>
      <c r="B317" s="3">
        <v>1315</v>
      </c>
      <c r="C317">
        <v>9</v>
      </c>
      <c r="D317">
        <v>10</v>
      </c>
      <c r="E317">
        <v>2024</v>
      </c>
      <c r="F317" s="4">
        <f t="shared" si="4"/>
        <v>45574</v>
      </c>
      <c r="G317" s="3" t="s">
        <v>37</v>
      </c>
      <c r="H317" s="3">
        <v>49</v>
      </c>
      <c r="I317" s="3" t="s">
        <v>20</v>
      </c>
      <c r="J317" s="3" t="s">
        <v>27</v>
      </c>
      <c r="K317" s="3" t="s">
        <v>34</v>
      </c>
      <c r="L317" s="3" t="s">
        <v>64</v>
      </c>
      <c r="M317" s="3">
        <v>872.13</v>
      </c>
      <c r="N317" s="3">
        <v>1</v>
      </c>
      <c r="O317" s="3">
        <v>5</v>
      </c>
      <c r="P317" s="3" t="s">
        <v>653</v>
      </c>
      <c r="Q317" s="3">
        <v>4</v>
      </c>
      <c r="R317" s="3">
        <v>8</v>
      </c>
      <c r="S317" s="3">
        <v>828.52350000000001</v>
      </c>
    </row>
    <row r="318" spans="1:19" x14ac:dyDescent="0.35">
      <c r="A318" s="3" t="s">
        <v>455</v>
      </c>
      <c r="B318" s="3">
        <v>1316</v>
      </c>
      <c r="C318">
        <v>27</v>
      </c>
      <c r="D318">
        <v>1</v>
      </c>
      <c r="E318">
        <v>2024</v>
      </c>
      <c r="F318" s="4">
        <f t="shared" si="4"/>
        <v>45318</v>
      </c>
      <c r="G318" s="3" t="s">
        <v>456</v>
      </c>
      <c r="H318" s="3"/>
      <c r="I318" s="3" t="s">
        <v>32</v>
      </c>
      <c r="J318" s="3" t="s">
        <v>655</v>
      </c>
      <c r="K318" s="3" t="s">
        <v>47</v>
      </c>
      <c r="L318" s="3" t="s">
        <v>55</v>
      </c>
      <c r="M318" s="3">
        <v>649.4</v>
      </c>
      <c r="N318" s="3">
        <v>2</v>
      </c>
      <c r="O318" s="3">
        <v>15</v>
      </c>
      <c r="P318" s="3" t="s">
        <v>29</v>
      </c>
      <c r="Q318" s="3"/>
      <c r="R318" s="3">
        <v>3</v>
      </c>
      <c r="S318" s="3">
        <v>1103.98</v>
      </c>
    </row>
    <row r="319" spans="1:19" x14ac:dyDescent="0.35">
      <c r="A319" s="3" t="s">
        <v>457</v>
      </c>
      <c r="B319" s="3">
        <v>1317</v>
      </c>
      <c r="C319">
        <v>13</v>
      </c>
      <c r="D319">
        <v>8</v>
      </c>
      <c r="E319">
        <v>2024</v>
      </c>
      <c r="F319" s="4">
        <f t="shared" si="4"/>
        <v>45517</v>
      </c>
      <c r="G319" s="3" t="s">
        <v>225</v>
      </c>
      <c r="H319" s="3">
        <v>38</v>
      </c>
      <c r="I319" s="3" t="s">
        <v>20</v>
      </c>
      <c r="J319" s="3" t="s">
        <v>51</v>
      </c>
      <c r="K319" s="3" t="s">
        <v>47</v>
      </c>
      <c r="L319" s="3" t="s">
        <v>125</v>
      </c>
      <c r="M319" s="3">
        <v>1046.56</v>
      </c>
      <c r="N319" s="3">
        <v>4</v>
      </c>
      <c r="O319" s="3">
        <v>10</v>
      </c>
      <c r="P319" s="3" t="s">
        <v>24</v>
      </c>
      <c r="Q319" s="3">
        <v>2</v>
      </c>
      <c r="R319" s="3">
        <v>7</v>
      </c>
      <c r="S319" s="3">
        <v>3767.616</v>
      </c>
    </row>
    <row r="320" spans="1:19" x14ac:dyDescent="0.35">
      <c r="A320" s="3" t="s">
        <v>458</v>
      </c>
      <c r="B320" s="3">
        <v>1318</v>
      </c>
      <c r="C320">
        <v>3</v>
      </c>
      <c r="D320">
        <v>10</v>
      </c>
      <c r="E320">
        <v>2024</v>
      </c>
      <c r="F320" s="4">
        <f t="shared" si="4"/>
        <v>45568</v>
      </c>
      <c r="G320" s="3" t="s">
        <v>262</v>
      </c>
      <c r="H320" s="3">
        <v>22</v>
      </c>
      <c r="I320" s="3" t="s">
        <v>32</v>
      </c>
      <c r="J320" s="3" t="s">
        <v>21</v>
      </c>
      <c r="K320" s="3" t="s">
        <v>47</v>
      </c>
      <c r="L320" s="3" t="s">
        <v>55</v>
      </c>
      <c r="M320" s="3">
        <v>174.17</v>
      </c>
      <c r="N320" s="3">
        <v>1</v>
      </c>
      <c r="O320" s="3">
        <v>20</v>
      </c>
      <c r="P320" s="3" t="s">
        <v>654</v>
      </c>
      <c r="Q320" s="3">
        <v>5</v>
      </c>
      <c r="R320" s="3">
        <v>9</v>
      </c>
      <c r="S320" s="3">
        <v>139.33600000000001</v>
      </c>
    </row>
    <row r="321" spans="1:19" x14ac:dyDescent="0.35">
      <c r="A321" s="3" t="s">
        <v>459</v>
      </c>
      <c r="B321" s="3">
        <v>1319</v>
      </c>
      <c r="C321">
        <v>12</v>
      </c>
      <c r="D321">
        <v>10</v>
      </c>
      <c r="E321">
        <v>2024</v>
      </c>
      <c r="F321" s="4">
        <f t="shared" si="4"/>
        <v>45577</v>
      </c>
      <c r="G321" s="3" t="s">
        <v>152</v>
      </c>
      <c r="H321" s="3">
        <v>35</v>
      </c>
      <c r="I321" s="3" t="s">
        <v>32</v>
      </c>
      <c r="J321" s="3" t="s">
        <v>46</v>
      </c>
      <c r="K321" s="3" t="s">
        <v>22</v>
      </c>
      <c r="L321" s="3" t="s">
        <v>79</v>
      </c>
      <c r="M321" s="3">
        <v>952.8</v>
      </c>
      <c r="N321" s="3">
        <v>1</v>
      </c>
      <c r="O321" s="3">
        <v>15</v>
      </c>
      <c r="P321" s="3" t="s">
        <v>29</v>
      </c>
      <c r="Q321" s="3">
        <v>4</v>
      </c>
      <c r="R321" s="3">
        <v>4</v>
      </c>
      <c r="S321" s="3">
        <v>809.88</v>
      </c>
    </row>
    <row r="322" spans="1:19" x14ac:dyDescent="0.35">
      <c r="A322" s="3" t="s">
        <v>460</v>
      </c>
      <c r="B322" s="3">
        <v>1320</v>
      </c>
      <c r="C322">
        <v>6</v>
      </c>
      <c r="D322">
        <v>4</v>
      </c>
      <c r="E322">
        <v>2024</v>
      </c>
      <c r="F322" s="4">
        <f t="shared" si="4"/>
        <v>45388</v>
      </c>
      <c r="G322" s="3" t="s">
        <v>59</v>
      </c>
      <c r="H322" s="3">
        <v>45</v>
      </c>
      <c r="I322" s="3" t="s">
        <v>20</v>
      </c>
      <c r="J322" s="3" t="s">
        <v>33</v>
      </c>
      <c r="K322" s="3" t="s">
        <v>38</v>
      </c>
      <c r="L322" s="3" t="s">
        <v>35</v>
      </c>
      <c r="M322" s="3">
        <v>167.29</v>
      </c>
      <c r="N322" s="3">
        <v>2</v>
      </c>
      <c r="O322" s="3">
        <v>5</v>
      </c>
      <c r="P322" s="3" t="s">
        <v>654</v>
      </c>
      <c r="Q322" s="3">
        <v>3</v>
      </c>
      <c r="R322" s="3">
        <v>8</v>
      </c>
      <c r="S322" s="3">
        <v>317.851</v>
      </c>
    </row>
    <row r="323" spans="1:19" x14ac:dyDescent="0.35">
      <c r="A323" s="3" t="s">
        <v>461</v>
      </c>
      <c r="B323" s="3">
        <v>1321</v>
      </c>
      <c r="C323">
        <v>10</v>
      </c>
      <c r="D323">
        <v>10</v>
      </c>
      <c r="E323">
        <v>2024</v>
      </c>
      <c r="F323" s="4">
        <f t="shared" ref="F323:F386" si="5">DATE(E323,D323,C323)</f>
        <v>45575</v>
      </c>
      <c r="G323" s="3" t="s">
        <v>324</v>
      </c>
      <c r="H323" s="3">
        <v>59</v>
      </c>
      <c r="I323" s="3" t="s">
        <v>20</v>
      </c>
      <c r="J323" s="3" t="s">
        <v>27</v>
      </c>
      <c r="K323" s="3" t="s">
        <v>22</v>
      </c>
      <c r="L323" s="3" t="s">
        <v>28</v>
      </c>
      <c r="M323" s="3">
        <v>957.17</v>
      </c>
      <c r="N323" s="3">
        <v>4</v>
      </c>
      <c r="O323" s="3">
        <v>5</v>
      </c>
      <c r="P323" s="3" t="s">
        <v>24</v>
      </c>
      <c r="Q323" s="3"/>
      <c r="R323" s="3">
        <v>3</v>
      </c>
      <c r="S323" s="3">
        <v>3637.2460000000001</v>
      </c>
    </row>
    <row r="324" spans="1:19" x14ac:dyDescent="0.35">
      <c r="A324" s="3" t="s">
        <v>462</v>
      </c>
      <c r="B324" s="3">
        <v>1322</v>
      </c>
      <c r="C324">
        <v>12</v>
      </c>
      <c r="D324">
        <v>11</v>
      </c>
      <c r="E324">
        <v>2024</v>
      </c>
      <c r="F324" s="4">
        <f t="shared" si="5"/>
        <v>45608</v>
      </c>
      <c r="G324" s="3" t="s">
        <v>87</v>
      </c>
      <c r="H324" s="3">
        <v>39</v>
      </c>
      <c r="I324" s="3" t="s">
        <v>32</v>
      </c>
      <c r="J324" s="3" t="s">
        <v>27</v>
      </c>
      <c r="K324" s="3" t="s">
        <v>34</v>
      </c>
      <c r="L324" s="3" t="s">
        <v>28</v>
      </c>
      <c r="M324" s="3">
        <v>345.41</v>
      </c>
      <c r="N324" s="3">
        <v>1</v>
      </c>
      <c r="O324" s="3">
        <v>10</v>
      </c>
      <c r="P324" s="3" t="s">
        <v>29</v>
      </c>
      <c r="Q324" s="3">
        <v>3</v>
      </c>
      <c r="R324" s="3">
        <v>7</v>
      </c>
      <c r="S324" s="3">
        <v>310.86900000000003</v>
      </c>
    </row>
    <row r="325" spans="1:19" x14ac:dyDescent="0.35">
      <c r="A325" s="3" t="s">
        <v>463</v>
      </c>
      <c r="B325" s="3">
        <v>1323</v>
      </c>
      <c r="C325">
        <v>30</v>
      </c>
      <c r="D325">
        <v>10</v>
      </c>
      <c r="E325">
        <v>2024</v>
      </c>
      <c r="F325" s="4">
        <f t="shared" si="5"/>
        <v>45595</v>
      </c>
      <c r="G325" s="3" t="s">
        <v>354</v>
      </c>
      <c r="H325" s="3">
        <v>38</v>
      </c>
      <c r="I325" s="3" t="s">
        <v>20</v>
      </c>
      <c r="J325" s="3" t="s">
        <v>51</v>
      </c>
      <c r="K325" s="3" t="s">
        <v>22</v>
      </c>
      <c r="L325" s="3" t="s">
        <v>55</v>
      </c>
      <c r="M325" s="3">
        <v>1054.97</v>
      </c>
      <c r="N325" s="3">
        <v>4</v>
      </c>
      <c r="O325" s="3">
        <v>5</v>
      </c>
      <c r="P325" s="3" t="s">
        <v>654</v>
      </c>
      <c r="Q325" s="3">
        <v>2</v>
      </c>
      <c r="R325" s="3">
        <v>3</v>
      </c>
      <c r="S325" s="3">
        <v>4008.886</v>
      </c>
    </row>
    <row r="326" spans="1:19" x14ac:dyDescent="0.35">
      <c r="A326" s="3" t="s">
        <v>464</v>
      </c>
      <c r="B326" s="3">
        <v>1324</v>
      </c>
      <c r="C326">
        <v>26</v>
      </c>
      <c r="D326">
        <v>5</v>
      </c>
      <c r="E326">
        <v>2024</v>
      </c>
      <c r="F326" s="4">
        <f t="shared" si="5"/>
        <v>45438</v>
      </c>
      <c r="G326" s="3" t="s">
        <v>354</v>
      </c>
      <c r="H326" s="3">
        <v>23</v>
      </c>
      <c r="I326" s="3" t="s">
        <v>32</v>
      </c>
      <c r="J326" s="3" t="s">
        <v>21</v>
      </c>
      <c r="K326" s="3" t="s">
        <v>34</v>
      </c>
      <c r="L326" s="3" t="s">
        <v>48</v>
      </c>
      <c r="M326" s="3">
        <v>1133.97</v>
      </c>
      <c r="N326" s="3">
        <v>4</v>
      </c>
      <c r="O326" s="3">
        <v>0</v>
      </c>
      <c r="P326" s="3" t="s">
        <v>654</v>
      </c>
      <c r="Q326" s="3">
        <v>2</v>
      </c>
      <c r="R326" s="3">
        <v>7</v>
      </c>
      <c r="S326" s="3">
        <v>4535.88</v>
      </c>
    </row>
    <row r="327" spans="1:19" x14ac:dyDescent="0.35">
      <c r="A327" s="3" t="s">
        <v>465</v>
      </c>
      <c r="B327" s="3">
        <v>1325</v>
      </c>
      <c r="C327">
        <v>4</v>
      </c>
      <c r="D327">
        <v>1</v>
      </c>
      <c r="E327">
        <v>2024</v>
      </c>
      <c r="F327" s="4">
        <f t="shared" si="5"/>
        <v>45295</v>
      </c>
      <c r="G327" s="3" t="s">
        <v>201</v>
      </c>
      <c r="H327" s="3">
        <v>18</v>
      </c>
      <c r="I327" s="3" t="s">
        <v>32</v>
      </c>
      <c r="J327" s="3" t="s">
        <v>51</v>
      </c>
      <c r="K327" s="3" t="s">
        <v>34</v>
      </c>
      <c r="L327" s="3" t="s">
        <v>35</v>
      </c>
      <c r="M327" s="3">
        <v>195.58</v>
      </c>
      <c r="N327" s="3">
        <v>4</v>
      </c>
      <c r="O327" s="3">
        <v>20</v>
      </c>
      <c r="P327" s="3" t="s">
        <v>653</v>
      </c>
      <c r="Q327" s="3">
        <v>1</v>
      </c>
      <c r="R327" s="3">
        <v>6</v>
      </c>
      <c r="S327" s="3">
        <v>625.85599999999999</v>
      </c>
    </row>
    <row r="328" spans="1:19" x14ac:dyDescent="0.35">
      <c r="A328" s="3" t="s">
        <v>466</v>
      </c>
      <c r="B328" s="3">
        <v>1326</v>
      </c>
      <c r="C328">
        <v>4</v>
      </c>
      <c r="D328">
        <v>2</v>
      </c>
      <c r="E328">
        <v>2024</v>
      </c>
      <c r="F328" s="4">
        <f t="shared" si="5"/>
        <v>45326</v>
      </c>
      <c r="G328" s="3" t="s">
        <v>285</v>
      </c>
      <c r="H328" s="3">
        <v>22</v>
      </c>
      <c r="I328" s="3" t="s">
        <v>32</v>
      </c>
      <c r="J328" s="3" t="s">
        <v>33</v>
      </c>
      <c r="K328" s="3" t="s">
        <v>41</v>
      </c>
      <c r="L328" s="3" t="s">
        <v>28</v>
      </c>
      <c r="M328" s="3">
        <v>565.96</v>
      </c>
      <c r="N328" s="3">
        <v>2</v>
      </c>
      <c r="O328" s="3">
        <v>15</v>
      </c>
      <c r="P328" s="3" t="s">
        <v>653</v>
      </c>
      <c r="Q328" s="3">
        <v>4</v>
      </c>
      <c r="R328" s="3">
        <v>2</v>
      </c>
      <c r="S328" s="3">
        <v>962.13199999999995</v>
      </c>
    </row>
    <row r="329" spans="1:19" x14ac:dyDescent="0.35">
      <c r="A329" s="3" t="s">
        <v>467</v>
      </c>
      <c r="B329" s="3">
        <v>1327</v>
      </c>
      <c r="C329">
        <v>10</v>
      </c>
      <c r="D329">
        <v>7</v>
      </c>
      <c r="E329">
        <v>2024</v>
      </c>
      <c r="F329" s="4">
        <f t="shared" si="5"/>
        <v>45483</v>
      </c>
      <c r="G329" s="3" t="s">
        <v>113</v>
      </c>
      <c r="H329" s="3">
        <v>58</v>
      </c>
      <c r="I329" s="3" t="s">
        <v>32</v>
      </c>
      <c r="J329" s="3" t="s">
        <v>51</v>
      </c>
      <c r="K329" s="3" t="s">
        <v>47</v>
      </c>
      <c r="L329" s="3" t="s">
        <v>35</v>
      </c>
      <c r="M329" s="3">
        <v>1177.57</v>
      </c>
      <c r="N329" s="3">
        <v>3</v>
      </c>
      <c r="O329" s="3">
        <v>20</v>
      </c>
      <c r="P329" s="3" t="s">
        <v>653</v>
      </c>
      <c r="Q329" s="3">
        <v>1</v>
      </c>
      <c r="R329" s="3">
        <v>3</v>
      </c>
      <c r="S329" s="3">
        <v>2826.1680000000001</v>
      </c>
    </row>
    <row r="330" spans="1:19" x14ac:dyDescent="0.35">
      <c r="A330" s="3" t="s">
        <v>468</v>
      </c>
      <c r="B330" s="3">
        <v>1328</v>
      </c>
      <c r="C330">
        <v>18</v>
      </c>
      <c r="D330">
        <v>2</v>
      </c>
      <c r="E330">
        <v>2024</v>
      </c>
      <c r="F330" s="4">
        <f t="shared" si="5"/>
        <v>45340</v>
      </c>
      <c r="G330" s="3" t="s">
        <v>315</v>
      </c>
      <c r="H330" s="3">
        <v>29</v>
      </c>
      <c r="I330" s="3" t="s">
        <v>32</v>
      </c>
      <c r="J330" s="3" t="s">
        <v>27</v>
      </c>
      <c r="K330" s="3" t="s">
        <v>34</v>
      </c>
      <c r="L330" s="3" t="s">
        <v>64</v>
      </c>
      <c r="M330" s="3">
        <v>590.41999999999996</v>
      </c>
      <c r="N330" s="3">
        <v>3</v>
      </c>
      <c r="O330" s="3">
        <v>10</v>
      </c>
      <c r="P330" s="3" t="s">
        <v>29</v>
      </c>
      <c r="Q330" s="3">
        <v>3</v>
      </c>
      <c r="R330" s="3">
        <v>6</v>
      </c>
      <c r="S330" s="3">
        <v>1594.134</v>
      </c>
    </row>
    <row r="331" spans="1:19" x14ac:dyDescent="0.35">
      <c r="A331" s="3" t="s">
        <v>469</v>
      </c>
      <c r="B331" s="3">
        <v>1329</v>
      </c>
      <c r="C331">
        <v>17</v>
      </c>
      <c r="D331">
        <v>1</v>
      </c>
      <c r="E331">
        <v>2024</v>
      </c>
      <c r="F331" s="4">
        <f t="shared" si="5"/>
        <v>45308</v>
      </c>
      <c r="G331" s="3" t="s">
        <v>72</v>
      </c>
      <c r="H331" s="3">
        <v>43</v>
      </c>
      <c r="I331" s="3" t="s">
        <v>20</v>
      </c>
      <c r="J331" s="3" t="s">
        <v>27</v>
      </c>
      <c r="K331" s="3" t="s">
        <v>41</v>
      </c>
      <c r="L331" s="3" t="s">
        <v>35</v>
      </c>
      <c r="M331" s="3">
        <v>1038.99</v>
      </c>
      <c r="N331" s="3">
        <v>1</v>
      </c>
      <c r="O331" s="3">
        <v>15</v>
      </c>
      <c r="P331" s="3" t="s">
        <v>24</v>
      </c>
      <c r="Q331" s="3">
        <v>5</v>
      </c>
      <c r="R331" s="3">
        <v>4</v>
      </c>
      <c r="S331" s="3">
        <v>883.14149999999995</v>
      </c>
    </row>
    <row r="332" spans="1:19" x14ac:dyDescent="0.35">
      <c r="A332" s="3" t="s">
        <v>470</v>
      </c>
      <c r="B332" s="3">
        <v>1330</v>
      </c>
      <c r="C332">
        <v>20</v>
      </c>
      <c r="D332">
        <v>6</v>
      </c>
      <c r="E332">
        <v>2024</v>
      </c>
      <c r="F332" s="4">
        <f t="shared" si="5"/>
        <v>45463</v>
      </c>
      <c r="G332" s="3" t="s">
        <v>81</v>
      </c>
      <c r="H332" s="3">
        <v>51</v>
      </c>
      <c r="I332" s="3" t="s">
        <v>32</v>
      </c>
      <c r="J332" s="3" t="s">
        <v>46</v>
      </c>
      <c r="K332" s="3" t="s">
        <v>47</v>
      </c>
      <c r="L332" s="3" t="s">
        <v>96</v>
      </c>
      <c r="M332" s="3">
        <v>714.7</v>
      </c>
      <c r="N332" s="3">
        <v>4</v>
      </c>
      <c r="O332" s="3">
        <v>15</v>
      </c>
      <c r="P332" s="3" t="s">
        <v>24</v>
      </c>
      <c r="Q332" s="3">
        <v>5</v>
      </c>
      <c r="R332" s="3">
        <v>6</v>
      </c>
      <c r="S332" s="3">
        <v>2429.98</v>
      </c>
    </row>
    <row r="333" spans="1:19" x14ac:dyDescent="0.35">
      <c r="A333" s="3" t="s">
        <v>471</v>
      </c>
      <c r="B333" s="3">
        <v>1331</v>
      </c>
      <c r="C333">
        <v>7</v>
      </c>
      <c r="D333">
        <v>8</v>
      </c>
      <c r="E333">
        <v>2024</v>
      </c>
      <c r="F333" s="4">
        <f t="shared" si="5"/>
        <v>45511</v>
      </c>
      <c r="G333" s="3" t="s">
        <v>266</v>
      </c>
      <c r="H333" s="3">
        <v>31</v>
      </c>
      <c r="I333" s="3" t="s">
        <v>32</v>
      </c>
      <c r="J333" s="3" t="s">
        <v>46</v>
      </c>
      <c r="K333" s="3" t="s">
        <v>34</v>
      </c>
      <c r="L333" s="3" t="s">
        <v>79</v>
      </c>
      <c r="M333" s="3">
        <v>462.89</v>
      </c>
      <c r="N333" s="3">
        <v>2</v>
      </c>
      <c r="O333" s="3">
        <v>0</v>
      </c>
      <c r="P333" s="3" t="s">
        <v>653</v>
      </c>
      <c r="Q333" s="3">
        <v>2</v>
      </c>
      <c r="R333" s="3">
        <v>1</v>
      </c>
      <c r="S333" s="3">
        <v>925.78</v>
      </c>
    </row>
    <row r="334" spans="1:19" x14ac:dyDescent="0.35">
      <c r="A334" s="3" t="s">
        <v>472</v>
      </c>
      <c r="B334" s="3">
        <v>1332</v>
      </c>
      <c r="C334">
        <v>6</v>
      </c>
      <c r="D334">
        <v>6</v>
      </c>
      <c r="E334">
        <v>2024</v>
      </c>
      <c r="F334" s="4">
        <f t="shared" si="5"/>
        <v>45449</v>
      </c>
      <c r="G334" s="3" t="s">
        <v>174</v>
      </c>
      <c r="H334" s="3">
        <v>43</v>
      </c>
      <c r="I334" s="3" t="s">
        <v>20</v>
      </c>
      <c r="J334" s="3" t="s">
        <v>33</v>
      </c>
      <c r="K334" s="3" t="s">
        <v>34</v>
      </c>
      <c r="L334" s="3" t="s">
        <v>28</v>
      </c>
      <c r="M334" s="3">
        <v>357.22</v>
      </c>
      <c r="N334" s="3">
        <v>4</v>
      </c>
      <c r="O334" s="3">
        <v>10</v>
      </c>
      <c r="P334" s="3" t="s">
        <v>653</v>
      </c>
      <c r="Q334" s="3">
        <v>5</v>
      </c>
      <c r="R334" s="3">
        <v>1</v>
      </c>
      <c r="S334" s="3">
        <v>1285.992</v>
      </c>
    </row>
    <row r="335" spans="1:19" x14ac:dyDescent="0.35">
      <c r="A335" s="3" t="s">
        <v>473</v>
      </c>
      <c r="B335" s="3">
        <v>1333</v>
      </c>
      <c r="C335">
        <v>15</v>
      </c>
      <c r="D335">
        <v>2</v>
      </c>
      <c r="E335">
        <v>2024</v>
      </c>
      <c r="F335" s="4">
        <f t="shared" si="5"/>
        <v>45337</v>
      </c>
      <c r="G335" s="3" t="s">
        <v>172</v>
      </c>
      <c r="H335" s="3">
        <v>44</v>
      </c>
      <c r="I335" s="3" t="s">
        <v>32</v>
      </c>
      <c r="J335" s="3" t="s">
        <v>21</v>
      </c>
      <c r="K335" s="3" t="s">
        <v>22</v>
      </c>
      <c r="L335" s="3" t="s">
        <v>35</v>
      </c>
      <c r="M335" s="3">
        <v>259.8</v>
      </c>
      <c r="N335" s="3">
        <v>4</v>
      </c>
      <c r="O335" s="3">
        <v>5</v>
      </c>
      <c r="P335" s="3" t="s">
        <v>653</v>
      </c>
      <c r="Q335" s="3">
        <v>5</v>
      </c>
      <c r="R335" s="3">
        <v>3</v>
      </c>
      <c r="S335" s="3">
        <v>987.24</v>
      </c>
    </row>
    <row r="336" spans="1:19" x14ac:dyDescent="0.35">
      <c r="A336" s="3" t="s">
        <v>474</v>
      </c>
      <c r="B336" s="3">
        <v>1334</v>
      </c>
      <c r="C336">
        <v>6</v>
      </c>
      <c r="D336">
        <v>1</v>
      </c>
      <c r="E336">
        <v>2024</v>
      </c>
      <c r="F336" s="4">
        <f t="shared" si="5"/>
        <v>45297</v>
      </c>
      <c r="G336" s="3" t="s">
        <v>91</v>
      </c>
      <c r="H336" s="3">
        <v>26</v>
      </c>
      <c r="I336" s="3" t="s">
        <v>20</v>
      </c>
      <c r="J336" s="3" t="s">
        <v>51</v>
      </c>
      <c r="K336" s="3" t="s">
        <v>22</v>
      </c>
      <c r="L336" s="3" t="s">
        <v>55</v>
      </c>
      <c r="M336" s="3">
        <v>918.92</v>
      </c>
      <c r="N336" s="3">
        <v>2</v>
      </c>
      <c r="O336" s="3">
        <v>0</v>
      </c>
      <c r="P336" s="3" t="s">
        <v>654</v>
      </c>
      <c r="Q336" s="3">
        <v>5</v>
      </c>
      <c r="R336" s="3">
        <v>8</v>
      </c>
      <c r="S336" s="3">
        <v>1837.84</v>
      </c>
    </row>
    <row r="337" spans="1:19" x14ac:dyDescent="0.35">
      <c r="A337" s="3" t="s">
        <v>475</v>
      </c>
      <c r="B337" s="3">
        <v>1335</v>
      </c>
      <c r="C337">
        <v>8</v>
      </c>
      <c r="D337">
        <v>4</v>
      </c>
      <c r="E337">
        <v>2024</v>
      </c>
      <c r="F337" s="4">
        <f t="shared" si="5"/>
        <v>45390</v>
      </c>
      <c r="G337" s="3" t="s">
        <v>140</v>
      </c>
      <c r="H337" s="3">
        <v>43</v>
      </c>
      <c r="I337" s="3" t="s">
        <v>20</v>
      </c>
      <c r="J337" s="3" t="s">
        <v>33</v>
      </c>
      <c r="K337" s="3" t="s">
        <v>47</v>
      </c>
      <c r="L337" s="3" t="s">
        <v>42</v>
      </c>
      <c r="M337" s="3">
        <v>476.12</v>
      </c>
      <c r="N337" s="3">
        <v>3</v>
      </c>
      <c r="O337" s="3">
        <v>0</v>
      </c>
      <c r="P337" s="3" t="s">
        <v>653</v>
      </c>
      <c r="Q337" s="3">
        <v>3</v>
      </c>
      <c r="R337" s="3">
        <v>8</v>
      </c>
      <c r="S337" s="3">
        <v>1428.36</v>
      </c>
    </row>
    <row r="338" spans="1:19" x14ac:dyDescent="0.35">
      <c r="A338" s="3" t="s">
        <v>476</v>
      </c>
      <c r="B338" s="3">
        <v>1336</v>
      </c>
      <c r="C338">
        <v>20</v>
      </c>
      <c r="D338">
        <v>8</v>
      </c>
      <c r="E338">
        <v>2024</v>
      </c>
      <c r="F338" s="4">
        <f t="shared" si="5"/>
        <v>45524</v>
      </c>
      <c r="G338" s="3" t="s">
        <v>233</v>
      </c>
      <c r="H338" s="3">
        <v>39</v>
      </c>
      <c r="I338" s="3" t="s">
        <v>20</v>
      </c>
      <c r="J338" s="3" t="s">
        <v>46</v>
      </c>
      <c r="K338" s="3" t="s">
        <v>34</v>
      </c>
      <c r="L338" s="3" t="s">
        <v>96</v>
      </c>
      <c r="M338" s="3">
        <v>623.30999999999995</v>
      </c>
      <c r="N338" s="3">
        <v>4</v>
      </c>
      <c r="O338" s="3">
        <v>20</v>
      </c>
      <c r="P338" s="3" t="s">
        <v>654</v>
      </c>
      <c r="Q338" s="3">
        <v>5</v>
      </c>
      <c r="R338" s="3">
        <v>4</v>
      </c>
      <c r="S338" s="3">
        <v>1994.5920000000001</v>
      </c>
    </row>
    <row r="339" spans="1:19" x14ac:dyDescent="0.35">
      <c r="A339" s="3" t="s">
        <v>477</v>
      </c>
      <c r="B339" s="3">
        <v>1337</v>
      </c>
      <c r="C339">
        <v>6</v>
      </c>
      <c r="D339">
        <v>2</v>
      </c>
      <c r="E339">
        <v>2024</v>
      </c>
      <c r="F339" s="4">
        <f t="shared" si="5"/>
        <v>45328</v>
      </c>
      <c r="G339" s="3" t="s">
        <v>442</v>
      </c>
      <c r="H339" s="3">
        <v>47</v>
      </c>
      <c r="I339" s="3" t="s">
        <v>32</v>
      </c>
      <c r="J339" s="3" t="s">
        <v>51</v>
      </c>
      <c r="K339" s="3" t="s">
        <v>38</v>
      </c>
      <c r="L339" s="3" t="s">
        <v>96</v>
      </c>
      <c r="M339" s="3">
        <v>600.94000000000005</v>
      </c>
      <c r="N339" s="3">
        <v>4</v>
      </c>
      <c r="O339" s="3">
        <v>20</v>
      </c>
      <c r="P339" s="3" t="s">
        <v>24</v>
      </c>
      <c r="Q339" s="3"/>
      <c r="R339" s="3">
        <v>6</v>
      </c>
      <c r="S339" s="3">
        <v>1923.008</v>
      </c>
    </row>
    <row r="340" spans="1:19" x14ac:dyDescent="0.35">
      <c r="A340" s="3" t="s">
        <v>478</v>
      </c>
      <c r="B340" s="3">
        <v>1338</v>
      </c>
      <c r="C340">
        <v>6</v>
      </c>
      <c r="D340">
        <v>10</v>
      </c>
      <c r="E340">
        <v>2024</v>
      </c>
      <c r="F340" s="4">
        <f t="shared" si="5"/>
        <v>45571</v>
      </c>
      <c r="G340" s="3" t="s">
        <v>54</v>
      </c>
      <c r="H340" s="3">
        <v>34</v>
      </c>
      <c r="I340" s="3" t="s">
        <v>32</v>
      </c>
      <c r="J340" s="3" t="s">
        <v>46</v>
      </c>
      <c r="K340" s="3" t="s">
        <v>22</v>
      </c>
      <c r="L340" s="3" t="s">
        <v>48</v>
      </c>
      <c r="M340" s="3">
        <v>701.19</v>
      </c>
      <c r="N340" s="3">
        <v>3</v>
      </c>
      <c r="O340" s="3">
        <v>20</v>
      </c>
      <c r="P340" s="3" t="s">
        <v>29</v>
      </c>
      <c r="Q340" s="3">
        <v>5</v>
      </c>
      <c r="R340" s="3">
        <v>8</v>
      </c>
      <c r="S340" s="3">
        <v>1682.856</v>
      </c>
    </row>
    <row r="341" spans="1:19" x14ac:dyDescent="0.35">
      <c r="A341" s="3" t="s">
        <v>479</v>
      </c>
      <c r="B341" s="3">
        <v>1339</v>
      </c>
      <c r="C341">
        <v>14</v>
      </c>
      <c r="D341">
        <v>12</v>
      </c>
      <c r="E341">
        <v>2024</v>
      </c>
      <c r="F341" s="4">
        <f t="shared" si="5"/>
        <v>45640</v>
      </c>
      <c r="G341" s="3" t="s">
        <v>134</v>
      </c>
      <c r="H341" s="3">
        <v>43</v>
      </c>
      <c r="I341" s="3" t="s">
        <v>32</v>
      </c>
      <c r="J341" s="3" t="s">
        <v>51</v>
      </c>
      <c r="K341" s="3" t="s">
        <v>47</v>
      </c>
      <c r="L341" s="3" t="s">
        <v>35</v>
      </c>
      <c r="M341" s="3">
        <v>1041.3800000000001</v>
      </c>
      <c r="N341" s="3">
        <v>2</v>
      </c>
      <c r="O341" s="3">
        <v>0</v>
      </c>
      <c r="P341" s="3" t="s">
        <v>29</v>
      </c>
      <c r="Q341" s="3">
        <v>5</v>
      </c>
      <c r="R341" s="3">
        <v>7</v>
      </c>
      <c r="S341" s="3">
        <v>2082.7600000000002</v>
      </c>
    </row>
    <row r="342" spans="1:19" x14ac:dyDescent="0.35">
      <c r="A342" s="3" t="s">
        <v>480</v>
      </c>
      <c r="B342" s="3">
        <v>1340</v>
      </c>
      <c r="C342">
        <v>28</v>
      </c>
      <c r="D342">
        <v>10</v>
      </c>
      <c r="E342">
        <v>2024</v>
      </c>
      <c r="F342" s="4">
        <f t="shared" si="5"/>
        <v>45593</v>
      </c>
      <c r="G342" s="3" t="s">
        <v>50</v>
      </c>
      <c r="H342" s="3">
        <v>53</v>
      </c>
      <c r="I342" s="3" t="s">
        <v>20</v>
      </c>
      <c r="J342" s="3" t="s">
        <v>21</v>
      </c>
      <c r="K342" s="3" t="s">
        <v>34</v>
      </c>
      <c r="L342" s="3" t="s">
        <v>48</v>
      </c>
      <c r="M342" s="3">
        <v>1177.27</v>
      </c>
      <c r="N342" s="3">
        <v>1</v>
      </c>
      <c r="O342" s="3">
        <v>5</v>
      </c>
      <c r="P342" s="3" t="s">
        <v>29</v>
      </c>
      <c r="Q342" s="3">
        <v>1</v>
      </c>
      <c r="R342" s="3">
        <v>7</v>
      </c>
      <c r="S342" s="3">
        <v>1118.4065000000001</v>
      </c>
    </row>
    <row r="343" spans="1:19" x14ac:dyDescent="0.35">
      <c r="A343" s="3" t="s">
        <v>481</v>
      </c>
      <c r="B343" s="3">
        <v>1341</v>
      </c>
      <c r="C343">
        <v>29</v>
      </c>
      <c r="D343">
        <v>6</v>
      </c>
      <c r="E343">
        <v>2024</v>
      </c>
      <c r="F343" s="4">
        <f t="shared" si="5"/>
        <v>45472</v>
      </c>
      <c r="G343" s="3" t="s">
        <v>130</v>
      </c>
      <c r="H343" s="3">
        <v>18</v>
      </c>
      <c r="I343" s="3" t="s">
        <v>32</v>
      </c>
      <c r="J343" s="3" t="s">
        <v>33</v>
      </c>
      <c r="K343" s="3" t="s">
        <v>34</v>
      </c>
      <c r="L343" s="3" t="s">
        <v>48</v>
      </c>
      <c r="M343" s="3">
        <v>500.95</v>
      </c>
      <c r="N343" s="3">
        <v>3</v>
      </c>
      <c r="O343" s="3">
        <v>15</v>
      </c>
      <c r="P343" s="3" t="s">
        <v>29</v>
      </c>
      <c r="Q343" s="3">
        <v>3</v>
      </c>
      <c r="R343" s="3">
        <v>4</v>
      </c>
      <c r="S343" s="3">
        <v>1277.4224999999999</v>
      </c>
    </row>
    <row r="344" spans="1:19" x14ac:dyDescent="0.35">
      <c r="A344" s="3" t="s">
        <v>482</v>
      </c>
      <c r="B344" s="3">
        <v>1342</v>
      </c>
      <c r="C344">
        <v>4</v>
      </c>
      <c r="D344">
        <v>4</v>
      </c>
      <c r="E344">
        <v>2024</v>
      </c>
      <c r="F344" s="4">
        <f t="shared" si="5"/>
        <v>45386</v>
      </c>
      <c r="G344" s="3" t="s">
        <v>174</v>
      </c>
      <c r="H344" s="3">
        <v>25</v>
      </c>
      <c r="I344" s="3" t="s">
        <v>20</v>
      </c>
      <c r="J344" s="3" t="s">
        <v>51</v>
      </c>
      <c r="K344" s="3" t="s">
        <v>38</v>
      </c>
      <c r="L344" s="3" t="s">
        <v>42</v>
      </c>
      <c r="M344" s="3">
        <v>996.47</v>
      </c>
      <c r="N344" s="3">
        <v>1</v>
      </c>
      <c r="O344" s="3">
        <v>20</v>
      </c>
      <c r="P344" s="3" t="s">
        <v>654</v>
      </c>
      <c r="Q344" s="3">
        <v>2</v>
      </c>
      <c r="R344" s="3">
        <v>9</v>
      </c>
      <c r="S344" s="3">
        <v>797.17600000000004</v>
      </c>
    </row>
    <row r="345" spans="1:19" x14ac:dyDescent="0.35">
      <c r="A345" s="3" t="s">
        <v>483</v>
      </c>
      <c r="B345" s="3">
        <v>1343</v>
      </c>
      <c r="C345">
        <v>8</v>
      </c>
      <c r="D345">
        <v>4</v>
      </c>
      <c r="E345">
        <v>2024</v>
      </c>
      <c r="F345" s="4">
        <f t="shared" si="5"/>
        <v>45390</v>
      </c>
      <c r="G345" s="3" t="s">
        <v>140</v>
      </c>
      <c r="H345" s="3">
        <v>52</v>
      </c>
      <c r="I345" s="3" t="s">
        <v>32</v>
      </c>
      <c r="J345" s="3" t="s">
        <v>27</v>
      </c>
      <c r="K345" s="3" t="s">
        <v>47</v>
      </c>
      <c r="L345" s="3" t="s">
        <v>64</v>
      </c>
      <c r="M345" s="3">
        <v>922.14</v>
      </c>
      <c r="N345" s="3">
        <v>1</v>
      </c>
      <c r="O345" s="3">
        <v>5</v>
      </c>
      <c r="P345" s="3" t="s">
        <v>654</v>
      </c>
      <c r="Q345" s="3">
        <v>1</v>
      </c>
      <c r="R345" s="3">
        <v>6</v>
      </c>
      <c r="S345" s="3">
        <v>876.03300000000002</v>
      </c>
    </row>
    <row r="346" spans="1:19" x14ac:dyDescent="0.35">
      <c r="A346" s="3" t="s">
        <v>484</v>
      </c>
      <c r="B346" s="3">
        <v>1344</v>
      </c>
      <c r="C346">
        <v>6</v>
      </c>
      <c r="D346">
        <v>7</v>
      </c>
      <c r="E346">
        <v>2024</v>
      </c>
      <c r="F346" s="4">
        <f t="shared" si="5"/>
        <v>45479</v>
      </c>
      <c r="G346" s="3" t="s">
        <v>118</v>
      </c>
      <c r="H346" s="3">
        <v>32</v>
      </c>
      <c r="I346" s="3" t="s">
        <v>20</v>
      </c>
      <c r="J346" s="3" t="s">
        <v>27</v>
      </c>
      <c r="K346" s="3" t="s">
        <v>34</v>
      </c>
      <c r="L346" s="3" t="s">
        <v>35</v>
      </c>
      <c r="M346" s="3">
        <v>696.76</v>
      </c>
      <c r="N346" s="3">
        <v>3</v>
      </c>
      <c r="O346" s="3">
        <v>10</v>
      </c>
      <c r="P346" s="3" t="s">
        <v>653</v>
      </c>
      <c r="Q346" s="3">
        <v>4</v>
      </c>
      <c r="R346" s="3">
        <v>3</v>
      </c>
      <c r="S346" s="3">
        <v>1881.252</v>
      </c>
    </row>
    <row r="347" spans="1:19" x14ac:dyDescent="0.35">
      <c r="A347" s="3" t="s">
        <v>485</v>
      </c>
      <c r="B347" s="3">
        <v>1345</v>
      </c>
      <c r="C347">
        <v>25</v>
      </c>
      <c r="D347">
        <v>4</v>
      </c>
      <c r="E347">
        <v>2024</v>
      </c>
      <c r="F347" s="4">
        <f t="shared" si="5"/>
        <v>45407</v>
      </c>
      <c r="G347" s="3" t="s">
        <v>107</v>
      </c>
      <c r="H347" s="3">
        <v>39</v>
      </c>
      <c r="I347" s="3" t="s">
        <v>32</v>
      </c>
      <c r="J347" s="3" t="s">
        <v>51</v>
      </c>
      <c r="K347" s="3" t="s">
        <v>22</v>
      </c>
      <c r="L347" s="3" t="s">
        <v>125</v>
      </c>
      <c r="M347" s="3">
        <v>1148.1400000000001</v>
      </c>
      <c r="N347" s="3">
        <v>4</v>
      </c>
      <c r="O347" s="3">
        <v>20</v>
      </c>
      <c r="P347" s="3" t="s">
        <v>654</v>
      </c>
      <c r="Q347" s="3">
        <v>3</v>
      </c>
      <c r="R347" s="3">
        <v>5</v>
      </c>
      <c r="S347" s="3">
        <v>3674.0479999999998</v>
      </c>
    </row>
    <row r="348" spans="1:19" x14ac:dyDescent="0.35">
      <c r="A348" s="3" t="s">
        <v>486</v>
      </c>
      <c r="B348" s="3">
        <v>1346</v>
      </c>
      <c r="C348">
        <v>9</v>
      </c>
      <c r="D348">
        <v>7</v>
      </c>
      <c r="E348">
        <v>2024</v>
      </c>
      <c r="F348" s="4">
        <f t="shared" si="5"/>
        <v>45482</v>
      </c>
      <c r="G348" s="3" t="s">
        <v>352</v>
      </c>
      <c r="H348" s="3">
        <v>31</v>
      </c>
      <c r="I348" s="3" t="s">
        <v>32</v>
      </c>
      <c r="J348" s="3" t="s">
        <v>51</v>
      </c>
      <c r="K348" s="3" t="s">
        <v>38</v>
      </c>
      <c r="L348" s="3" t="s">
        <v>28</v>
      </c>
      <c r="M348" s="3">
        <v>256.56</v>
      </c>
      <c r="N348" s="3">
        <v>1</v>
      </c>
      <c r="O348" s="3">
        <v>15</v>
      </c>
      <c r="P348" s="3" t="s">
        <v>653</v>
      </c>
      <c r="Q348" s="3"/>
      <c r="R348" s="3">
        <v>5</v>
      </c>
      <c r="S348" s="3">
        <v>218.07599999999999</v>
      </c>
    </row>
    <row r="349" spans="1:19" x14ac:dyDescent="0.35">
      <c r="A349" s="3" t="s">
        <v>487</v>
      </c>
      <c r="B349" s="3">
        <v>1347</v>
      </c>
      <c r="C349">
        <v>9</v>
      </c>
      <c r="D349">
        <v>9</v>
      </c>
      <c r="E349">
        <v>2024</v>
      </c>
      <c r="F349" s="4">
        <f t="shared" si="5"/>
        <v>45544</v>
      </c>
      <c r="G349" s="3" t="s">
        <v>270</v>
      </c>
      <c r="H349" s="3">
        <v>43</v>
      </c>
      <c r="I349" s="3" t="s">
        <v>32</v>
      </c>
      <c r="J349" s="3" t="s">
        <v>51</v>
      </c>
      <c r="K349" s="3" t="s">
        <v>47</v>
      </c>
      <c r="L349" s="3" t="s">
        <v>48</v>
      </c>
      <c r="M349" s="3">
        <v>148.93</v>
      </c>
      <c r="N349" s="3">
        <v>1</v>
      </c>
      <c r="O349" s="3">
        <v>10</v>
      </c>
      <c r="P349" s="3" t="s">
        <v>653</v>
      </c>
      <c r="Q349" s="3">
        <v>3</v>
      </c>
      <c r="R349" s="3">
        <v>5</v>
      </c>
      <c r="S349" s="3">
        <v>134.03700000000001</v>
      </c>
    </row>
    <row r="350" spans="1:19" x14ac:dyDescent="0.35">
      <c r="A350" s="3" t="s">
        <v>488</v>
      </c>
      <c r="B350" s="3">
        <v>1348</v>
      </c>
      <c r="C350">
        <v>9</v>
      </c>
      <c r="D350">
        <v>6</v>
      </c>
      <c r="E350">
        <v>2024</v>
      </c>
      <c r="F350" s="4">
        <f t="shared" si="5"/>
        <v>45452</v>
      </c>
      <c r="G350" s="3" t="s">
        <v>63</v>
      </c>
      <c r="H350" s="3">
        <v>45</v>
      </c>
      <c r="I350" s="3" t="s">
        <v>20</v>
      </c>
      <c r="J350" s="3" t="s">
        <v>27</v>
      </c>
      <c r="K350" s="3" t="s">
        <v>38</v>
      </c>
      <c r="L350" s="3" t="s">
        <v>79</v>
      </c>
      <c r="M350" s="3">
        <v>1027.68</v>
      </c>
      <c r="N350" s="3">
        <v>2</v>
      </c>
      <c r="O350" s="3">
        <v>10</v>
      </c>
      <c r="P350" s="3" t="s">
        <v>29</v>
      </c>
      <c r="Q350" s="3">
        <v>4</v>
      </c>
      <c r="R350" s="3">
        <v>8</v>
      </c>
      <c r="S350" s="3">
        <v>1849.8240000000001</v>
      </c>
    </row>
    <row r="351" spans="1:19" x14ac:dyDescent="0.35">
      <c r="A351" s="3" t="s">
        <v>489</v>
      </c>
      <c r="B351" s="3">
        <v>1349</v>
      </c>
      <c r="C351">
        <v>12</v>
      </c>
      <c r="D351">
        <v>9</v>
      </c>
      <c r="E351">
        <v>2024</v>
      </c>
      <c r="F351" s="4">
        <f t="shared" si="5"/>
        <v>45547</v>
      </c>
      <c r="G351" s="3" t="s">
        <v>285</v>
      </c>
      <c r="H351" s="3">
        <v>40</v>
      </c>
      <c r="I351" s="3" t="s">
        <v>20</v>
      </c>
      <c r="J351" s="3" t="s">
        <v>27</v>
      </c>
      <c r="K351" s="3" t="s">
        <v>22</v>
      </c>
      <c r="L351" s="3" t="s">
        <v>23</v>
      </c>
      <c r="M351" s="3">
        <v>538.20000000000005</v>
      </c>
      <c r="N351" s="3">
        <v>4</v>
      </c>
      <c r="O351" s="3">
        <v>15</v>
      </c>
      <c r="P351" s="3" t="s">
        <v>654</v>
      </c>
      <c r="Q351" s="3">
        <v>4</v>
      </c>
      <c r="R351" s="3">
        <v>9</v>
      </c>
      <c r="S351" s="3">
        <v>1829.88</v>
      </c>
    </row>
    <row r="352" spans="1:19" x14ac:dyDescent="0.35">
      <c r="A352" s="3" t="s">
        <v>490</v>
      </c>
      <c r="B352" s="3">
        <v>1350</v>
      </c>
      <c r="C352">
        <v>18</v>
      </c>
      <c r="D352">
        <v>11</v>
      </c>
      <c r="E352">
        <v>2024</v>
      </c>
      <c r="F352" s="4">
        <f t="shared" si="5"/>
        <v>45614</v>
      </c>
      <c r="G352" s="3" t="s">
        <v>201</v>
      </c>
      <c r="H352" s="3">
        <v>31</v>
      </c>
      <c r="I352" s="3" t="s">
        <v>32</v>
      </c>
      <c r="J352" s="3" t="s">
        <v>51</v>
      </c>
      <c r="K352" s="3" t="s">
        <v>47</v>
      </c>
      <c r="L352" s="3" t="s">
        <v>79</v>
      </c>
      <c r="M352" s="3">
        <v>1019.42</v>
      </c>
      <c r="N352" s="3">
        <v>1</v>
      </c>
      <c r="O352" s="3">
        <v>20</v>
      </c>
      <c r="P352" s="3" t="s">
        <v>654</v>
      </c>
      <c r="Q352" s="3">
        <v>4</v>
      </c>
      <c r="R352" s="3">
        <v>9</v>
      </c>
      <c r="S352" s="3">
        <v>815.53599999999994</v>
      </c>
    </row>
    <row r="353" spans="1:19" x14ac:dyDescent="0.35">
      <c r="A353" s="3" t="s">
        <v>491</v>
      </c>
      <c r="B353" s="3">
        <v>1351</v>
      </c>
      <c r="C353">
        <v>7</v>
      </c>
      <c r="D353">
        <v>5</v>
      </c>
      <c r="E353">
        <v>2024</v>
      </c>
      <c r="F353" s="4">
        <f t="shared" si="5"/>
        <v>45419</v>
      </c>
      <c r="G353" s="3" t="s">
        <v>111</v>
      </c>
      <c r="H353" s="3">
        <v>41</v>
      </c>
      <c r="I353" s="3" t="s">
        <v>32</v>
      </c>
      <c r="J353" s="3" t="s">
        <v>46</v>
      </c>
      <c r="K353" s="3" t="s">
        <v>38</v>
      </c>
      <c r="L353" s="3" t="s">
        <v>42</v>
      </c>
      <c r="M353" s="3">
        <v>1073.8499999999999</v>
      </c>
      <c r="N353" s="3">
        <v>2</v>
      </c>
      <c r="O353" s="3">
        <v>0</v>
      </c>
      <c r="P353" s="3" t="s">
        <v>653</v>
      </c>
      <c r="Q353" s="3">
        <v>2</v>
      </c>
      <c r="R353" s="3">
        <v>6</v>
      </c>
      <c r="S353" s="3">
        <v>2147.6999999999998</v>
      </c>
    </row>
    <row r="354" spans="1:19" x14ac:dyDescent="0.35">
      <c r="A354" s="3" t="s">
        <v>492</v>
      </c>
      <c r="B354" s="3">
        <v>1352</v>
      </c>
      <c r="C354">
        <v>18</v>
      </c>
      <c r="D354">
        <v>1</v>
      </c>
      <c r="E354">
        <v>2024</v>
      </c>
      <c r="F354" s="4">
        <f t="shared" si="5"/>
        <v>45309</v>
      </c>
      <c r="G354" s="3" t="s">
        <v>26</v>
      </c>
      <c r="H354" s="3">
        <v>19</v>
      </c>
      <c r="I354" s="3" t="s">
        <v>20</v>
      </c>
      <c r="J354" s="3" t="s">
        <v>46</v>
      </c>
      <c r="K354" s="3" t="s">
        <v>41</v>
      </c>
      <c r="L354" s="3" t="s">
        <v>42</v>
      </c>
      <c r="M354" s="3">
        <v>93.7</v>
      </c>
      <c r="N354" s="3">
        <v>4</v>
      </c>
      <c r="O354" s="3">
        <v>15</v>
      </c>
      <c r="P354" s="3" t="s">
        <v>653</v>
      </c>
      <c r="Q354" s="3">
        <v>5</v>
      </c>
      <c r="R354" s="3">
        <v>6</v>
      </c>
      <c r="S354" s="3">
        <v>318.58</v>
      </c>
    </row>
    <row r="355" spans="1:19" x14ac:dyDescent="0.35">
      <c r="A355" s="3" t="s">
        <v>493</v>
      </c>
      <c r="B355" s="3">
        <v>1353</v>
      </c>
      <c r="C355">
        <v>7</v>
      </c>
      <c r="D355">
        <v>10</v>
      </c>
      <c r="E355">
        <v>2024</v>
      </c>
      <c r="F355" s="4">
        <f t="shared" si="5"/>
        <v>45572</v>
      </c>
      <c r="G355" s="3" t="s">
        <v>137</v>
      </c>
      <c r="H355" s="3">
        <v>43</v>
      </c>
      <c r="I355" s="3" t="s">
        <v>20</v>
      </c>
      <c r="J355" s="3" t="s">
        <v>21</v>
      </c>
      <c r="K355" s="3" t="s">
        <v>22</v>
      </c>
      <c r="L355" s="3" t="s">
        <v>55</v>
      </c>
      <c r="M355" s="3">
        <v>1062.49</v>
      </c>
      <c r="N355" s="3">
        <v>3</v>
      </c>
      <c r="O355" s="3">
        <v>15</v>
      </c>
      <c r="P355" s="3" t="s">
        <v>24</v>
      </c>
      <c r="Q355" s="3">
        <v>3</v>
      </c>
      <c r="R355" s="3">
        <v>9</v>
      </c>
      <c r="S355" s="3">
        <v>2709.3494999999998</v>
      </c>
    </row>
    <row r="356" spans="1:19" x14ac:dyDescent="0.35">
      <c r="A356" s="3" t="s">
        <v>494</v>
      </c>
      <c r="B356" s="3">
        <v>1354</v>
      </c>
      <c r="C356">
        <v>10</v>
      </c>
      <c r="D356">
        <v>8</v>
      </c>
      <c r="E356">
        <v>2024</v>
      </c>
      <c r="F356" s="4">
        <f t="shared" si="5"/>
        <v>45514</v>
      </c>
      <c r="G356" s="3" t="s">
        <v>66</v>
      </c>
      <c r="H356" s="3">
        <v>31</v>
      </c>
      <c r="I356" s="3" t="s">
        <v>20</v>
      </c>
      <c r="J356" s="3" t="s">
        <v>33</v>
      </c>
      <c r="K356" s="3" t="s">
        <v>22</v>
      </c>
      <c r="L356" s="3" t="s">
        <v>64</v>
      </c>
      <c r="M356" s="3">
        <v>549.02</v>
      </c>
      <c r="N356" s="3">
        <v>3</v>
      </c>
      <c r="O356" s="3">
        <v>15</v>
      </c>
      <c r="P356" s="3" t="s">
        <v>24</v>
      </c>
      <c r="Q356" s="3">
        <v>5</v>
      </c>
      <c r="R356" s="3">
        <v>4</v>
      </c>
      <c r="S356" s="3">
        <v>1400.001</v>
      </c>
    </row>
    <row r="357" spans="1:19" x14ac:dyDescent="0.35">
      <c r="A357" s="3" t="s">
        <v>495</v>
      </c>
      <c r="B357" s="3">
        <v>1355</v>
      </c>
      <c r="C357">
        <v>23</v>
      </c>
      <c r="D357">
        <v>2</v>
      </c>
      <c r="E357">
        <v>2024</v>
      </c>
      <c r="F357" s="4">
        <f t="shared" si="5"/>
        <v>45345</v>
      </c>
      <c r="G357" s="3" t="s">
        <v>264</v>
      </c>
      <c r="H357" s="3">
        <v>24</v>
      </c>
      <c r="I357" s="3" t="s">
        <v>32</v>
      </c>
      <c r="J357" s="3" t="s">
        <v>46</v>
      </c>
      <c r="K357" s="3" t="s">
        <v>22</v>
      </c>
      <c r="L357" s="3" t="s">
        <v>28</v>
      </c>
      <c r="M357" s="3">
        <v>622.30999999999995</v>
      </c>
      <c r="N357" s="3">
        <v>2</v>
      </c>
      <c r="O357" s="3">
        <v>10</v>
      </c>
      <c r="P357" s="3" t="s">
        <v>653</v>
      </c>
      <c r="Q357" s="3">
        <v>5</v>
      </c>
      <c r="R357" s="3">
        <v>6</v>
      </c>
      <c r="S357" s="3">
        <v>1120.1579999999999</v>
      </c>
    </row>
    <row r="358" spans="1:19" x14ac:dyDescent="0.35">
      <c r="A358" s="3" t="s">
        <v>496</v>
      </c>
      <c r="B358" s="3">
        <v>1356</v>
      </c>
      <c r="C358">
        <v>27</v>
      </c>
      <c r="D358">
        <v>2</v>
      </c>
      <c r="E358">
        <v>2024</v>
      </c>
      <c r="F358" s="4">
        <f t="shared" si="5"/>
        <v>45349</v>
      </c>
      <c r="G358" s="3" t="s">
        <v>111</v>
      </c>
      <c r="H358" s="3"/>
      <c r="I358" s="3" t="s">
        <v>20</v>
      </c>
      <c r="J358" s="3" t="s">
        <v>655</v>
      </c>
      <c r="K358" s="3" t="s">
        <v>41</v>
      </c>
      <c r="L358" s="3" t="s">
        <v>48</v>
      </c>
      <c r="M358" s="3">
        <v>759.38</v>
      </c>
      <c r="N358" s="3">
        <v>3</v>
      </c>
      <c r="O358" s="3">
        <v>5</v>
      </c>
      <c r="P358" s="3" t="s">
        <v>24</v>
      </c>
      <c r="Q358" s="3"/>
      <c r="R358" s="3">
        <v>4</v>
      </c>
      <c r="S358" s="3">
        <v>2164.2330000000002</v>
      </c>
    </row>
    <row r="359" spans="1:19" x14ac:dyDescent="0.35">
      <c r="A359" s="3" t="s">
        <v>497</v>
      </c>
      <c r="B359" s="3">
        <v>1357</v>
      </c>
      <c r="C359">
        <v>18</v>
      </c>
      <c r="D359">
        <v>11</v>
      </c>
      <c r="E359">
        <v>2024</v>
      </c>
      <c r="F359" s="4">
        <f t="shared" si="5"/>
        <v>45614</v>
      </c>
      <c r="G359" s="3" t="s">
        <v>50</v>
      </c>
      <c r="H359" s="3">
        <v>40</v>
      </c>
      <c r="I359" s="3" t="s">
        <v>32</v>
      </c>
      <c r="J359" s="3" t="s">
        <v>46</v>
      </c>
      <c r="K359" s="3" t="s">
        <v>41</v>
      </c>
      <c r="L359" s="3" t="s">
        <v>79</v>
      </c>
      <c r="M359" s="3">
        <v>1113.1300000000001</v>
      </c>
      <c r="N359" s="3">
        <v>1</v>
      </c>
      <c r="O359" s="3">
        <v>0</v>
      </c>
      <c r="P359" s="3" t="s">
        <v>24</v>
      </c>
      <c r="Q359" s="3">
        <v>4</v>
      </c>
      <c r="R359" s="3">
        <v>1</v>
      </c>
      <c r="S359" s="3">
        <v>1113.1300000000001</v>
      </c>
    </row>
    <row r="360" spans="1:19" x14ac:dyDescent="0.35">
      <c r="A360" s="3" t="s">
        <v>498</v>
      </c>
      <c r="B360" s="3">
        <v>1358</v>
      </c>
      <c r="C360">
        <v>25</v>
      </c>
      <c r="D360">
        <v>12</v>
      </c>
      <c r="E360">
        <v>2024</v>
      </c>
      <c r="F360" s="4">
        <f t="shared" si="5"/>
        <v>45651</v>
      </c>
      <c r="G360" s="3" t="s">
        <v>436</v>
      </c>
      <c r="H360" s="3">
        <v>35</v>
      </c>
      <c r="I360" s="3" t="s">
        <v>20</v>
      </c>
      <c r="J360" s="3" t="s">
        <v>21</v>
      </c>
      <c r="K360" s="3" t="s">
        <v>34</v>
      </c>
      <c r="L360" s="3" t="s">
        <v>23</v>
      </c>
      <c r="M360" s="3">
        <v>42.56</v>
      </c>
      <c r="N360" s="3">
        <v>4</v>
      </c>
      <c r="O360" s="3">
        <v>20</v>
      </c>
      <c r="P360" s="3" t="s">
        <v>653</v>
      </c>
      <c r="Q360" s="3">
        <v>2</v>
      </c>
      <c r="R360" s="3">
        <v>7</v>
      </c>
      <c r="S360" s="3">
        <v>136.19200000000001</v>
      </c>
    </row>
    <row r="361" spans="1:19" x14ac:dyDescent="0.35">
      <c r="A361" s="3" t="s">
        <v>499</v>
      </c>
      <c r="B361" s="3">
        <v>1359</v>
      </c>
      <c r="C361">
        <v>22</v>
      </c>
      <c r="D361">
        <v>6</v>
      </c>
      <c r="E361">
        <v>2024</v>
      </c>
      <c r="F361" s="4">
        <f t="shared" si="5"/>
        <v>45465</v>
      </c>
      <c r="G361" s="3" t="s">
        <v>109</v>
      </c>
      <c r="H361" s="3">
        <v>55</v>
      </c>
      <c r="I361" s="3" t="s">
        <v>32</v>
      </c>
      <c r="J361" s="3" t="s">
        <v>21</v>
      </c>
      <c r="K361" s="3" t="s">
        <v>38</v>
      </c>
      <c r="L361" s="3" t="s">
        <v>42</v>
      </c>
      <c r="M361" s="3">
        <v>582.67999999999995</v>
      </c>
      <c r="N361" s="3">
        <v>1</v>
      </c>
      <c r="O361" s="3">
        <v>20</v>
      </c>
      <c r="P361" s="3" t="s">
        <v>653</v>
      </c>
      <c r="Q361" s="3"/>
      <c r="R361" s="3">
        <v>6</v>
      </c>
      <c r="S361" s="3">
        <v>466.14400000000001</v>
      </c>
    </row>
    <row r="362" spans="1:19" x14ac:dyDescent="0.35">
      <c r="A362" s="3" t="s">
        <v>500</v>
      </c>
      <c r="B362" s="3">
        <v>1360</v>
      </c>
      <c r="C362">
        <v>6</v>
      </c>
      <c r="D362">
        <v>10</v>
      </c>
      <c r="E362">
        <v>2024</v>
      </c>
      <c r="F362" s="4">
        <f t="shared" si="5"/>
        <v>45571</v>
      </c>
      <c r="G362" s="3" t="s">
        <v>118</v>
      </c>
      <c r="H362" s="3">
        <v>52</v>
      </c>
      <c r="I362" s="3" t="s">
        <v>20</v>
      </c>
      <c r="J362" s="3" t="s">
        <v>33</v>
      </c>
      <c r="K362" s="3" t="s">
        <v>34</v>
      </c>
      <c r="L362" s="3" t="s">
        <v>42</v>
      </c>
      <c r="M362" s="3">
        <v>831.51</v>
      </c>
      <c r="N362" s="3">
        <v>1</v>
      </c>
      <c r="O362" s="3">
        <v>5</v>
      </c>
      <c r="P362" s="3" t="s">
        <v>654</v>
      </c>
      <c r="Q362" s="3">
        <v>1</v>
      </c>
      <c r="R362" s="3">
        <v>9</v>
      </c>
      <c r="S362" s="3">
        <v>789.93449999999996</v>
      </c>
    </row>
    <row r="363" spans="1:19" x14ac:dyDescent="0.35">
      <c r="A363" s="3" t="s">
        <v>501</v>
      </c>
      <c r="B363" s="3">
        <v>1361</v>
      </c>
      <c r="C363">
        <v>23</v>
      </c>
      <c r="D363">
        <v>4</v>
      </c>
      <c r="E363">
        <v>2024</v>
      </c>
      <c r="F363" s="4">
        <f t="shared" si="5"/>
        <v>45405</v>
      </c>
      <c r="G363" s="3" t="s">
        <v>57</v>
      </c>
      <c r="H363" s="3"/>
      <c r="I363" s="3" t="s">
        <v>20</v>
      </c>
      <c r="J363" s="3" t="s">
        <v>655</v>
      </c>
      <c r="K363" s="3" t="s">
        <v>38</v>
      </c>
      <c r="L363" s="3" t="s">
        <v>64</v>
      </c>
      <c r="M363" s="3">
        <v>872.79</v>
      </c>
      <c r="N363" s="3">
        <v>3</v>
      </c>
      <c r="O363" s="3">
        <v>15</v>
      </c>
      <c r="P363" s="3" t="s">
        <v>653</v>
      </c>
      <c r="Q363" s="3"/>
      <c r="R363" s="3">
        <v>7</v>
      </c>
      <c r="S363" s="3">
        <v>2225.6145000000001</v>
      </c>
    </row>
    <row r="364" spans="1:19" x14ac:dyDescent="0.35">
      <c r="A364" s="3" t="s">
        <v>502</v>
      </c>
      <c r="B364" s="3">
        <v>1362</v>
      </c>
      <c r="C364">
        <v>14</v>
      </c>
      <c r="D364">
        <v>10</v>
      </c>
      <c r="E364">
        <v>2024</v>
      </c>
      <c r="F364" s="4">
        <f t="shared" si="5"/>
        <v>45579</v>
      </c>
      <c r="G364" s="3" t="s">
        <v>167</v>
      </c>
      <c r="H364" s="3">
        <v>42</v>
      </c>
      <c r="I364" s="3" t="s">
        <v>20</v>
      </c>
      <c r="J364" s="3" t="s">
        <v>27</v>
      </c>
      <c r="K364" s="3" t="s">
        <v>41</v>
      </c>
      <c r="L364" s="3" t="s">
        <v>23</v>
      </c>
      <c r="M364" s="3">
        <v>837.19</v>
      </c>
      <c r="N364" s="3">
        <v>1</v>
      </c>
      <c r="O364" s="3">
        <v>0</v>
      </c>
      <c r="P364" s="3" t="s">
        <v>653</v>
      </c>
      <c r="Q364" s="3">
        <v>5</v>
      </c>
      <c r="R364" s="3">
        <v>7</v>
      </c>
      <c r="S364" s="3">
        <v>837.19</v>
      </c>
    </row>
    <row r="365" spans="1:19" x14ac:dyDescent="0.35">
      <c r="A365" s="3" t="s">
        <v>503</v>
      </c>
      <c r="B365" s="3">
        <v>1363</v>
      </c>
      <c r="C365">
        <v>7</v>
      </c>
      <c r="D365">
        <v>12</v>
      </c>
      <c r="E365">
        <v>2024</v>
      </c>
      <c r="F365" s="4">
        <f t="shared" si="5"/>
        <v>45633</v>
      </c>
      <c r="G365" s="3" t="s">
        <v>145</v>
      </c>
      <c r="H365" s="3">
        <v>54</v>
      </c>
      <c r="I365" s="3" t="s">
        <v>20</v>
      </c>
      <c r="J365" s="3" t="s">
        <v>27</v>
      </c>
      <c r="K365" s="3" t="s">
        <v>41</v>
      </c>
      <c r="L365" s="3" t="s">
        <v>23</v>
      </c>
      <c r="M365" s="3">
        <v>178.63</v>
      </c>
      <c r="N365" s="3">
        <v>3</v>
      </c>
      <c r="O365" s="3">
        <v>20</v>
      </c>
      <c r="P365" s="3" t="s">
        <v>29</v>
      </c>
      <c r="Q365" s="3">
        <v>2</v>
      </c>
      <c r="R365" s="3">
        <v>2</v>
      </c>
      <c r="S365" s="3">
        <v>428.71199999999999</v>
      </c>
    </row>
    <row r="366" spans="1:19" x14ac:dyDescent="0.35">
      <c r="A366" s="3" t="s">
        <v>504</v>
      </c>
      <c r="B366" s="3">
        <v>1364</v>
      </c>
      <c r="C366">
        <v>30</v>
      </c>
      <c r="D366">
        <v>5</v>
      </c>
      <c r="E366">
        <v>2024</v>
      </c>
      <c r="F366" s="4">
        <f t="shared" si="5"/>
        <v>45442</v>
      </c>
      <c r="G366" s="3" t="s">
        <v>299</v>
      </c>
      <c r="H366" s="3">
        <v>45</v>
      </c>
      <c r="I366" s="3" t="s">
        <v>20</v>
      </c>
      <c r="J366" s="3" t="s">
        <v>51</v>
      </c>
      <c r="K366" s="3" t="s">
        <v>34</v>
      </c>
      <c r="L366" s="3" t="s">
        <v>64</v>
      </c>
      <c r="M366" s="3">
        <v>373.29</v>
      </c>
      <c r="N366" s="3">
        <v>4</v>
      </c>
      <c r="O366" s="3">
        <v>20</v>
      </c>
      <c r="P366" s="3" t="s">
        <v>654</v>
      </c>
      <c r="Q366" s="3">
        <v>4</v>
      </c>
      <c r="R366" s="3">
        <v>9</v>
      </c>
      <c r="S366" s="3">
        <v>1194.528</v>
      </c>
    </row>
    <row r="367" spans="1:19" x14ac:dyDescent="0.35">
      <c r="A367" s="3" t="s">
        <v>505</v>
      </c>
      <c r="B367" s="3">
        <v>1365</v>
      </c>
      <c r="C367">
        <v>6</v>
      </c>
      <c r="D367">
        <v>5</v>
      </c>
      <c r="E367">
        <v>2024</v>
      </c>
      <c r="F367" s="4">
        <f t="shared" si="5"/>
        <v>45418</v>
      </c>
      <c r="G367" s="3" t="s">
        <v>150</v>
      </c>
      <c r="H367" s="3">
        <v>27</v>
      </c>
      <c r="I367" s="3" t="s">
        <v>32</v>
      </c>
      <c r="J367" s="3" t="s">
        <v>27</v>
      </c>
      <c r="K367" s="3" t="s">
        <v>47</v>
      </c>
      <c r="L367" s="3" t="s">
        <v>42</v>
      </c>
      <c r="M367" s="3">
        <v>443.28</v>
      </c>
      <c r="N367" s="3">
        <v>4</v>
      </c>
      <c r="O367" s="3">
        <v>15</v>
      </c>
      <c r="P367" s="3" t="s">
        <v>654</v>
      </c>
      <c r="Q367" s="3">
        <v>1</v>
      </c>
      <c r="R367" s="3">
        <v>9</v>
      </c>
      <c r="S367" s="3">
        <v>1507.152</v>
      </c>
    </row>
    <row r="368" spans="1:19" x14ac:dyDescent="0.35">
      <c r="A368" s="3" t="s">
        <v>506</v>
      </c>
      <c r="B368" s="3">
        <v>1366</v>
      </c>
      <c r="C368">
        <v>3</v>
      </c>
      <c r="D368">
        <v>6</v>
      </c>
      <c r="E368">
        <v>2024</v>
      </c>
      <c r="F368" s="4">
        <f t="shared" si="5"/>
        <v>45446</v>
      </c>
      <c r="G368" s="3" t="s">
        <v>169</v>
      </c>
      <c r="H368" s="3">
        <v>56</v>
      </c>
      <c r="I368" s="3" t="s">
        <v>20</v>
      </c>
      <c r="J368" s="3" t="s">
        <v>33</v>
      </c>
      <c r="K368" s="3" t="s">
        <v>34</v>
      </c>
      <c r="L368" s="3" t="s">
        <v>28</v>
      </c>
      <c r="M368" s="3">
        <v>969.24</v>
      </c>
      <c r="N368" s="3">
        <v>1</v>
      </c>
      <c r="O368" s="3">
        <v>5</v>
      </c>
      <c r="P368" s="3" t="s">
        <v>654</v>
      </c>
      <c r="Q368" s="3">
        <v>4</v>
      </c>
      <c r="R368" s="3">
        <v>6</v>
      </c>
      <c r="S368" s="3">
        <v>920.77800000000002</v>
      </c>
    </row>
    <row r="369" spans="1:19" x14ac:dyDescent="0.35">
      <c r="A369" s="3" t="s">
        <v>507</v>
      </c>
      <c r="B369" s="3">
        <v>1367</v>
      </c>
      <c r="C369">
        <v>29</v>
      </c>
      <c r="D369">
        <v>9</v>
      </c>
      <c r="E369">
        <v>2024</v>
      </c>
      <c r="F369" s="4">
        <f t="shared" si="5"/>
        <v>45564</v>
      </c>
      <c r="G369" s="3" t="s">
        <v>167</v>
      </c>
      <c r="H369" s="3">
        <v>34</v>
      </c>
      <c r="I369" s="3" t="s">
        <v>20</v>
      </c>
      <c r="J369" s="3" t="s">
        <v>33</v>
      </c>
      <c r="K369" s="3" t="s">
        <v>38</v>
      </c>
      <c r="L369" s="3" t="s">
        <v>35</v>
      </c>
      <c r="M369" s="3">
        <v>348.94</v>
      </c>
      <c r="N369" s="3">
        <v>2</v>
      </c>
      <c r="O369" s="3">
        <v>0</v>
      </c>
      <c r="P369" s="3" t="s">
        <v>29</v>
      </c>
      <c r="Q369" s="3">
        <v>1</v>
      </c>
      <c r="R369" s="3">
        <v>3</v>
      </c>
      <c r="S369" s="3">
        <v>697.88</v>
      </c>
    </row>
    <row r="370" spans="1:19" x14ac:dyDescent="0.35">
      <c r="A370" s="3" t="s">
        <v>508</v>
      </c>
      <c r="B370" s="3">
        <v>1368</v>
      </c>
      <c r="C370">
        <v>13</v>
      </c>
      <c r="D370">
        <v>4</v>
      </c>
      <c r="E370">
        <v>2024</v>
      </c>
      <c r="F370" s="4">
        <f t="shared" si="5"/>
        <v>45395</v>
      </c>
      <c r="G370" s="3" t="s">
        <v>310</v>
      </c>
      <c r="H370" s="3">
        <v>56</v>
      </c>
      <c r="I370" s="3" t="s">
        <v>20</v>
      </c>
      <c r="J370" s="3" t="s">
        <v>27</v>
      </c>
      <c r="K370" s="3" t="s">
        <v>34</v>
      </c>
      <c r="L370" s="3" t="s">
        <v>35</v>
      </c>
      <c r="M370" s="3">
        <v>268.63</v>
      </c>
      <c r="N370" s="3">
        <v>3</v>
      </c>
      <c r="O370" s="3">
        <v>5</v>
      </c>
      <c r="P370" s="3" t="s">
        <v>653</v>
      </c>
      <c r="Q370" s="3"/>
      <c r="R370" s="3">
        <v>1</v>
      </c>
      <c r="S370" s="3">
        <v>765.59550000000002</v>
      </c>
    </row>
    <row r="371" spans="1:19" x14ac:dyDescent="0.35">
      <c r="A371" s="3" t="s">
        <v>509</v>
      </c>
      <c r="B371" s="3">
        <v>1369</v>
      </c>
      <c r="C371">
        <v>25</v>
      </c>
      <c r="D371">
        <v>10</v>
      </c>
      <c r="E371">
        <v>2024</v>
      </c>
      <c r="F371" s="4">
        <f t="shared" si="5"/>
        <v>45590</v>
      </c>
      <c r="G371" s="3" t="s">
        <v>145</v>
      </c>
      <c r="H371" s="3">
        <v>39</v>
      </c>
      <c r="I371" s="3" t="s">
        <v>32</v>
      </c>
      <c r="J371" s="3" t="s">
        <v>27</v>
      </c>
      <c r="K371" s="3" t="s">
        <v>22</v>
      </c>
      <c r="L371" s="3" t="s">
        <v>64</v>
      </c>
      <c r="M371" s="3">
        <v>1149.79</v>
      </c>
      <c r="N371" s="3">
        <v>3</v>
      </c>
      <c r="O371" s="3">
        <v>5</v>
      </c>
      <c r="P371" s="3" t="s">
        <v>654</v>
      </c>
      <c r="Q371" s="3">
        <v>5</v>
      </c>
      <c r="R371" s="3">
        <v>4</v>
      </c>
      <c r="S371" s="3">
        <v>3276.9014999999999</v>
      </c>
    </row>
    <row r="372" spans="1:19" x14ac:dyDescent="0.35">
      <c r="A372" s="3" t="s">
        <v>510</v>
      </c>
      <c r="B372" s="3">
        <v>1370</v>
      </c>
      <c r="C372">
        <v>2</v>
      </c>
      <c r="D372">
        <v>9</v>
      </c>
      <c r="E372">
        <v>2024</v>
      </c>
      <c r="F372" s="4">
        <f t="shared" si="5"/>
        <v>45537</v>
      </c>
      <c r="G372" s="3" t="s">
        <v>167</v>
      </c>
      <c r="H372" s="3">
        <v>43</v>
      </c>
      <c r="I372" s="3" t="s">
        <v>20</v>
      </c>
      <c r="J372" s="3" t="s">
        <v>51</v>
      </c>
      <c r="K372" s="3" t="s">
        <v>38</v>
      </c>
      <c r="L372" s="3" t="s">
        <v>23</v>
      </c>
      <c r="M372" s="3">
        <v>30.46</v>
      </c>
      <c r="N372" s="3">
        <v>1</v>
      </c>
      <c r="O372" s="3">
        <v>0</v>
      </c>
      <c r="P372" s="3" t="s">
        <v>654</v>
      </c>
      <c r="Q372" s="3">
        <v>1</v>
      </c>
      <c r="R372" s="3">
        <v>3</v>
      </c>
      <c r="S372" s="3">
        <v>30.46</v>
      </c>
    </row>
    <row r="373" spans="1:19" x14ac:dyDescent="0.35">
      <c r="A373" s="3" t="s">
        <v>511</v>
      </c>
      <c r="B373" s="3">
        <v>1371</v>
      </c>
      <c r="C373">
        <v>24</v>
      </c>
      <c r="D373">
        <v>6</v>
      </c>
      <c r="E373">
        <v>2024</v>
      </c>
      <c r="F373" s="4">
        <f t="shared" si="5"/>
        <v>45467</v>
      </c>
      <c r="G373" s="3" t="s">
        <v>204</v>
      </c>
      <c r="H373" s="3"/>
      <c r="I373" s="3" t="s">
        <v>32</v>
      </c>
      <c r="J373" s="3" t="s">
        <v>655</v>
      </c>
      <c r="K373" s="3" t="s">
        <v>38</v>
      </c>
      <c r="L373" s="3" t="s">
        <v>48</v>
      </c>
      <c r="M373" s="3">
        <v>1197.43</v>
      </c>
      <c r="N373" s="3">
        <v>3</v>
      </c>
      <c r="O373" s="3">
        <v>0</v>
      </c>
      <c r="P373" s="3" t="s">
        <v>24</v>
      </c>
      <c r="Q373" s="3"/>
      <c r="R373" s="3">
        <v>1</v>
      </c>
      <c r="S373" s="3">
        <v>3592.29</v>
      </c>
    </row>
    <row r="374" spans="1:19" x14ac:dyDescent="0.35">
      <c r="A374" s="3" t="s">
        <v>512</v>
      </c>
      <c r="B374" s="3">
        <v>1372</v>
      </c>
      <c r="C374">
        <v>8</v>
      </c>
      <c r="D374">
        <v>2</v>
      </c>
      <c r="E374">
        <v>2024</v>
      </c>
      <c r="F374" s="4">
        <f t="shared" si="5"/>
        <v>45330</v>
      </c>
      <c r="G374" s="3" t="s">
        <v>98</v>
      </c>
      <c r="H374" s="3">
        <v>34</v>
      </c>
      <c r="I374" s="3" t="s">
        <v>20</v>
      </c>
      <c r="J374" s="3" t="s">
        <v>51</v>
      </c>
      <c r="K374" s="3" t="s">
        <v>47</v>
      </c>
      <c r="L374" s="3" t="s">
        <v>64</v>
      </c>
      <c r="M374" s="3">
        <v>818.65</v>
      </c>
      <c r="N374" s="3">
        <v>3</v>
      </c>
      <c r="O374" s="3">
        <v>20</v>
      </c>
      <c r="P374" s="3" t="s">
        <v>654</v>
      </c>
      <c r="Q374" s="3">
        <v>1</v>
      </c>
      <c r="R374" s="3">
        <v>3</v>
      </c>
      <c r="S374" s="3">
        <v>1964.76</v>
      </c>
    </row>
    <row r="375" spans="1:19" x14ac:dyDescent="0.35">
      <c r="A375" s="3" t="s">
        <v>513</v>
      </c>
      <c r="B375" s="3">
        <v>1373</v>
      </c>
      <c r="C375">
        <v>18</v>
      </c>
      <c r="D375">
        <v>6</v>
      </c>
      <c r="E375">
        <v>2024</v>
      </c>
      <c r="F375" s="4">
        <f t="shared" si="5"/>
        <v>45461</v>
      </c>
      <c r="G375" s="3" t="s">
        <v>111</v>
      </c>
      <c r="H375" s="3">
        <v>30</v>
      </c>
      <c r="I375" s="3" t="s">
        <v>20</v>
      </c>
      <c r="J375" s="3" t="s">
        <v>51</v>
      </c>
      <c r="K375" s="3" t="s">
        <v>41</v>
      </c>
      <c r="L375" s="3" t="s">
        <v>28</v>
      </c>
      <c r="M375" s="3">
        <v>997.59</v>
      </c>
      <c r="N375" s="3">
        <v>2</v>
      </c>
      <c r="O375" s="3">
        <v>20</v>
      </c>
      <c r="P375" s="3" t="s">
        <v>653</v>
      </c>
      <c r="Q375" s="3">
        <v>2</v>
      </c>
      <c r="R375" s="3">
        <v>4</v>
      </c>
      <c r="S375" s="3">
        <v>1596.144</v>
      </c>
    </row>
    <row r="376" spans="1:19" x14ac:dyDescent="0.35">
      <c r="A376" s="3" t="s">
        <v>514</v>
      </c>
      <c r="B376" s="3">
        <v>1374</v>
      </c>
      <c r="C376">
        <v>3</v>
      </c>
      <c r="D376">
        <v>9</v>
      </c>
      <c r="E376">
        <v>2024</v>
      </c>
      <c r="F376" s="4">
        <f t="shared" si="5"/>
        <v>45538</v>
      </c>
      <c r="G376" s="3" t="s">
        <v>85</v>
      </c>
      <c r="H376" s="3"/>
      <c r="I376" s="3" t="s">
        <v>32</v>
      </c>
      <c r="J376" s="3" t="s">
        <v>655</v>
      </c>
      <c r="K376" s="3" t="s">
        <v>38</v>
      </c>
      <c r="L376" s="3" t="s">
        <v>64</v>
      </c>
      <c r="M376" s="3">
        <v>367.65</v>
      </c>
      <c r="N376" s="3">
        <v>2</v>
      </c>
      <c r="O376" s="3">
        <v>0</v>
      </c>
      <c r="P376" s="3" t="s">
        <v>653</v>
      </c>
      <c r="Q376" s="3"/>
      <c r="R376" s="3">
        <v>8</v>
      </c>
      <c r="S376" s="3">
        <v>735.3</v>
      </c>
    </row>
    <row r="377" spans="1:19" x14ac:dyDescent="0.35">
      <c r="A377" s="3" t="s">
        <v>515</v>
      </c>
      <c r="B377" s="3">
        <v>1375</v>
      </c>
      <c r="C377">
        <v>26</v>
      </c>
      <c r="D377">
        <v>1</v>
      </c>
      <c r="E377">
        <v>2024</v>
      </c>
      <c r="F377" s="4">
        <f t="shared" si="5"/>
        <v>45317</v>
      </c>
      <c r="G377" s="3" t="s">
        <v>169</v>
      </c>
      <c r="H377" s="3">
        <v>42</v>
      </c>
      <c r="I377" s="3" t="s">
        <v>20</v>
      </c>
      <c r="J377" s="3" t="s">
        <v>21</v>
      </c>
      <c r="K377" s="3" t="s">
        <v>41</v>
      </c>
      <c r="L377" s="3" t="s">
        <v>96</v>
      </c>
      <c r="M377" s="3">
        <v>36.89</v>
      </c>
      <c r="N377" s="3">
        <v>1</v>
      </c>
      <c r="O377" s="3">
        <v>10</v>
      </c>
      <c r="P377" s="3" t="s">
        <v>24</v>
      </c>
      <c r="Q377" s="3">
        <v>2</v>
      </c>
      <c r="R377" s="3">
        <v>9</v>
      </c>
      <c r="S377" s="3">
        <v>33.201000000000001</v>
      </c>
    </row>
    <row r="378" spans="1:19" x14ac:dyDescent="0.35">
      <c r="A378" s="3" t="s">
        <v>516</v>
      </c>
      <c r="B378" s="3">
        <v>1376</v>
      </c>
      <c r="C378">
        <v>20</v>
      </c>
      <c r="D378">
        <v>12</v>
      </c>
      <c r="E378">
        <v>2024</v>
      </c>
      <c r="F378" s="4">
        <f t="shared" si="5"/>
        <v>45646</v>
      </c>
      <c r="G378" s="3" t="s">
        <v>348</v>
      </c>
      <c r="H378" s="3">
        <v>21</v>
      </c>
      <c r="I378" s="3" t="s">
        <v>32</v>
      </c>
      <c r="J378" s="3" t="s">
        <v>21</v>
      </c>
      <c r="K378" s="3" t="s">
        <v>34</v>
      </c>
      <c r="L378" s="3" t="s">
        <v>79</v>
      </c>
      <c r="M378" s="3">
        <v>890.69</v>
      </c>
      <c r="N378" s="3">
        <v>2</v>
      </c>
      <c r="O378" s="3">
        <v>20</v>
      </c>
      <c r="P378" s="3" t="s">
        <v>654</v>
      </c>
      <c r="Q378" s="3">
        <v>5</v>
      </c>
      <c r="R378" s="3">
        <v>3</v>
      </c>
      <c r="S378" s="3">
        <v>1425.104</v>
      </c>
    </row>
    <row r="379" spans="1:19" x14ac:dyDescent="0.35">
      <c r="A379" s="3" t="s">
        <v>517</v>
      </c>
      <c r="B379" s="3">
        <v>1377</v>
      </c>
      <c r="C379">
        <v>1</v>
      </c>
      <c r="D379">
        <v>11</v>
      </c>
      <c r="E379">
        <v>2024</v>
      </c>
      <c r="F379" s="4">
        <f t="shared" si="5"/>
        <v>45597</v>
      </c>
      <c r="G379" s="3" t="s">
        <v>61</v>
      </c>
      <c r="H379" s="3"/>
      <c r="I379" s="3" t="s">
        <v>32</v>
      </c>
      <c r="J379" s="3" t="s">
        <v>655</v>
      </c>
      <c r="K379" s="3" t="s">
        <v>22</v>
      </c>
      <c r="L379" s="3" t="s">
        <v>23</v>
      </c>
      <c r="M379" s="3">
        <v>1004.29</v>
      </c>
      <c r="N379" s="3">
        <v>1</v>
      </c>
      <c r="O379" s="3">
        <v>10</v>
      </c>
      <c r="P379" s="3" t="s">
        <v>654</v>
      </c>
      <c r="Q379" s="3"/>
      <c r="R379" s="3">
        <v>6</v>
      </c>
      <c r="S379" s="3">
        <v>903.86099999999999</v>
      </c>
    </row>
    <row r="380" spans="1:19" x14ac:dyDescent="0.35">
      <c r="A380" s="3" t="s">
        <v>518</v>
      </c>
      <c r="B380" s="3">
        <v>1378</v>
      </c>
      <c r="C380">
        <v>13</v>
      </c>
      <c r="D380">
        <v>1</v>
      </c>
      <c r="E380">
        <v>2024</v>
      </c>
      <c r="F380" s="4">
        <f t="shared" si="5"/>
        <v>45304</v>
      </c>
      <c r="G380" s="3" t="s">
        <v>186</v>
      </c>
      <c r="H380" s="3">
        <v>20</v>
      </c>
      <c r="I380" s="3" t="s">
        <v>20</v>
      </c>
      <c r="J380" s="3" t="s">
        <v>27</v>
      </c>
      <c r="K380" s="3" t="s">
        <v>47</v>
      </c>
      <c r="L380" s="3" t="s">
        <v>55</v>
      </c>
      <c r="M380" s="3">
        <v>893.76</v>
      </c>
      <c r="N380" s="3">
        <v>4</v>
      </c>
      <c r="O380" s="3">
        <v>0</v>
      </c>
      <c r="P380" s="3" t="s">
        <v>654</v>
      </c>
      <c r="Q380" s="3"/>
      <c r="R380" s="3">
        <v>5</v>
      </c>
      <c r="S380" s="3">
        <v>3575.04</v>
      </c>
    </row>
    <row r="381" spans="1:19" x14ac:dyDescent="0.35">
      <c r="A381" s="3" t="s">
        <v>519</v>
      </c>
      <c r="B381" s="3">
        <v>1379</v>
      </c>
      <c r="C381">
        <v>11</v>
      </c>
      <c r="D381">
        <v>11</v>
      </c>
      <c r="E381">
        <v>2024</v>
      </c>
      <c r="F381" s="4">
        <f t="shared" si="5"/>
        <v>45607</v>
      </c>
      <c r="G381" s="3" t="s">
        <v>266</v>
      </c>
      <c r="H381" s="3">
        <v>58</v>
      </c>
      <c r="I381" s="3" t="s">
        <v>32</v>
      </c>
      <c r="J381" s="3" t="s">
        <v>21</v>
      </c>
      <c r="K381" s="3" t="s">
        <v>41</v>
      </c>
      <c r="L381" s="3" t="s">
        <v>55</v>
      </c>
      <c r="M381" s="3">
        <v>188.56</v>
      </c>
      <c r="N381" s="3">
        <v>1</v>
      </c>
      <c r="O381" s="3">
        <v>20</v>
      </c>
      <c r="P381" s="3" t="s">
        <v>29</v>
      </c>
      <c r="Q381" s="3"/>
      <c r="R381" s="3">
        <v>6</v>
      </c>
      <c r="S381" s="3">
        <v>150.84800000000001</v>
      </c>
    </row>
    <row r="382" spans="1:19" x14ac:dyDescent="0.35">
      <c r="A382" s="3" t="s">
        <v>520</v>
      </c>
      <c r="B382" s="3">
        <v>1380</v>
      </c>
      <c r="C382">
        <v>8</v>
      </c>
      <c r="D382">
        <v>11</v>
      </c>
      <c r="E382">
        <v>2024</v>
      </c>
      <c r="F382" s="4">
        <f t="shared" si="5"/>
        <v>45604</v>
      </c>
      <c r="G382" s="3" t="s">
        <v>93</v>
      </c>
      <c r="H382" s="3">
        <v>35</v>
      </c>
      <c r="I382" s="3" t="s">
        <v>20</v>
      </c>
      <c r="J382" s="3" t="s">
        <v>27</v>
      </c>
      <c r="K382" s="3" t="s">
        <v>38</v>
      </c>
      <c r="L382" s="3" t="s">
        <v>23</v>
      </c>
      <c r="M382" s="3">
        <v>909.04</v>
      </c>
      <c r="N382" s="3">
        <v>4</v>
      </c>
      <c r="O382" s="3">
        <v>5</v>
      </c>
      <c r="P382" s="3" t="s">
        <v>654</v>
      </c>
      <c r="Q382" s="3">
        <v>3</v>
      </c>
      <c r="R382" s="3">
        <v>4</v>
      </c>
      <c r="S382" s="3">
        <v>3454.3519999999999</v>
      </c>
    </row>
    <row r="383" spans="1:19" x14ac:dyDescent="0.35">
      <c r="A383" s="3" t="s">
        <v>521</v>
      </c>
      <c r="B383" s="3">
        <v>1381</v>
      </c>
      <c r="C383">
        <v>5</v>
      </c>
      <c r="D383">
        <v>2</v>
      </c>
      <c r="E383">
        <v>2024</v>
      </c>
      <c r="F383" s="4">
        <f t="shared" si="5"/>
        <v>45327</v>
      </c>
      <c r="G383" s="3" t="s">
        <v>122</v>
      </c>
      <c r="H383" s="3">
        <v>53</v>
      </c>
      <c r="I383" s="3" t="s">
        <v>20</v>
      </c>
      <c r="J383" s="3" t="s">
        <v>27</v>
      </c>
      <c r="K383" s="3" t="s">
        <v>41</v>
      </c>
      <c r="L383" s="3" t="s">
        <v>28</v>
      </c>
      <c r="M383" s="3">
        <v>927.33</v>
      </c>
      <c r="N383" s="3">
        <v>1</v>
      </c>
      <c r="O383" s="3">
        <v>0</v>
      </c>
      <c r="P383" s="3" t="s">
        <v>653</v>
      </c>
      <c r="Q383" s="3">
        <v>5</v>
      </c>
      <c r="R383" s="3">
        <v>6</v>
      </c>
      <c r="S383" s="3">
        <v>927.33</v>
      </c>
    </row>
    <row r="384" spans="1:19" x14ac:dyDescent="0.35">
      <c r="A384" s="3" t="s">
        <v>522</v>
      </c>
      <c r="B384" s="3">
        <v>1382</v>
      </c>
      <c r="C384">
        <v>21</v>
      </c>
      <c r="D384">
        <v>6</v>
      </c>
      <c r="E384">
        <v>2024</v>
      </c>
      <c r="F384" s="4">
        <f t="shared" si="5"/>
        <v>45464</v>
      </c>
      <c r="G384" s="3" t="s">
        <v>140</v>
      </c>
      <c r="H384" s="3">
        <v>39</v>
      </c>
      <c r="I384" s="3" t="s">
        <v>32</v>
      </c>
      <c r="J384" s="3" t="s">
        <v>27</v>
      </c>
      <c r="K384" s="3" t="s">
        <v>38</v>
      </c>
      <c r="L384" s="3" t="s">
        <v>96</v>
      </c>
      <c r="M384" s="3">
        <v>797.08</v>
      </c>
      <c r="N384" s="3">
        <v>3</v>
      </c>
      <c r="O384" s="3">
        <v>15</v>
      </c>
      <c r="P384" s="3" t="s">
        <v>653</v>
      </c>
      <c r="Q384" s="3"/>
      <c r="R384" s="3">
        <v>7</v>
      </c>
      <c r="S384" s="3">
        <v>2032.5540000000001</v>
      </c>
    </row>
    <row r="385" spans="1:19" x14ac:dyDescent="0.35">
      <c r="A385" s="3" t="s">
        <v>523</v>
      </c>
      <c r="B385" s="3">
        <v>1383</v>
      </c>
      <c r="C385">
        <v>20</v>
      </c>
      <c r="D385">
        <v>1</v>
      </c>
      <c r="E385">
        <v>2024</v>
      </c>
      <c r="F385" s="4">
        <f t="shared" si="5"/>
        <v>45311</v>
      </c>
      <c r="G385" s="3" t="s">
        <v>89</v>
      </c>
      <c r="H385" s="3">
        <v>51</v>
      </c>
      <c r="I385" s="3" t="s">
        <v>32</v>
      </c>
      <c r="J385" s="3" t="s">
        <v>46</v>
      </c>
      <c r="K385" s="3" t="s">
        <v>41</v>
      </c>
      <c r="L385" s="3" t="s">
        <v>96</v>
      </c>
      <c r="M385" s="3">
        <v>924.02</v>
      </c>
      <c r="N385" s="3">
        <v>2</v>
      </c>
      <c r="O385" s="3">
        <v>10</v>
      </c>
      <c r="P385" s="3" t="s">
        <v>29</v>
      </c>
      <c r="Q385" s="3">
        <v>1</v>
      </c>
      <c r="R385" s="3">
        <v>9</v>
      </c>
      <c r="S385" s="3">
        <v>1663.2360000000001</v>
      </c>
    </row>
    <row r="386" spans="1:19" x14ac:dyDescent="0.35">
      <c r="A386" s="3" t="s">
        <v>524</v>
      </c>
      <c r="B386" s="3">
        <v>1384</v>
      </c>
      <c r="C386">
        <v>16</v>
      </c>
      <c r="D386">
        <v>11</v>
      </c>
      <c r="E386">
        <v>2024</v>
      </c>
      <c r="F386" s="4">
        <f t="shared" si="5"/>
        <v>45612</v>
      </c>
      <c r="G386" s="3" t="s">
        <v>169</v>
      </c>
      <c r="H386" s="3">
        <v>25</v>
      </c>
      <c r="I386" s="3" t="s">
        <v>32</v>
      </c>
      <c r="J386" s="3" t="s">
        <v>27</v>
      </c>
      <c r="K386" s="3" t="s">
        <v>38</v>
      </c>
      <c r="L386" s="3" t="s">
        <v>42</v>
      </c>
      <c r="M386" s="3">
        <v>1018.19</v>
      </c>
      <c r="N386" s="3">
        <v>4</v>
      </c>
      <c r="O386" s="3">
        <v>0</v>
      </c>
      <c r="P386" s="3" t="s">
        <v>29</v>
      </c>
      <c r="Q386" s="3">
        <v>1</v>
      </c>
      <c r="R386" s="3">
        <v>7</v>
      </c>
      <c r="S386" s="3">
        <v>4072.76</v>
      </c>
    </row>
    <row r="387" spans="1:19" x14ac:dyDescent="0.35">
      <c r="A387" s="3" t="s">
        <v>525</v>
      </c>
      <c r="B387" s="3">
        <v>1385</v>
      </c>
      <c r="C387">
        <v>20</v>
      </c>
      <c r="D387">
        <v>9</v>
      </c>
      <c r="E387">
        <v>2024</v>
      </c>
      <c r="F387" s="4">
        <f t="shared" ref="F387:F450" si="6">DATE(E387,D387,C387)</f>
        <v>45555</v>
      </c>
      <c r="G387" s="3" t="s">
        <v>26</v>
      </c>
      <c r="H387" s="3">
        <v>57</v>
      </c>
      <c r="I387" s="3" t="s">
        <v>32</v>
      </c>
      <c r="J387" s="3" t="s">
        <v>46</v>
      </c>
      <c r="K387" s="3" t="s">
        <v>34</v>
      </c>
      <c r="L387" s="3" t="s">
        <v>79</v>
      </c>
      <c r="M387" s="3">
        <v>744.05</v>
      </c>
      <c r="N387" s="3">
        <v>1</v>
      </c>
      <c r="O387" s="3">
        <v>0</v>
      </c>
      <c r="P387" s="3" t="s">
        <v>654</v>
      </c>
      <c r="Q387" s="3"/>
      <c r="R387" s="3">
        <v>6</v>
      </c>
      <c r="S387" s="3">
        <v>744.05</v>
      </c>
    </row>
    <row r="388" spans="1:19" x14ac:dyDescent="0.35">
      <c r="A388" s="3" t="s">
        <v>526</v>
      </c>
      <c r="B388" s="3">
        <v>1386</v>
      </c>
      <c r="C388">
        <v>21</v>
      </c>
      <c r="D388">
        <v>5</v>
      </c>
      <c r="E388">
        <v>2024</v>
      </c>
      <c r="F388" s="4">
        <f t="shared" si="6"/>
        <v>45433</v>
      </c>
      <c r="G388" s="3" t="s">
        <v>83</v>
      </c>
      <c r="H388" s="3">
        <v>36</v>
      </c>
      <c r="I388" s="3" t="s">
        <v>20</v>
      </c>
      <c r="J388" s="3" t="s">
        <v>51</v>
      </c>
      <c r="K388" s="3" t="s">
        <v>38</v>
      </c>
      <c r="L388" s="3" t="s">
        <v>35</v>
      </c>
      <c r="M388" s="3">
        <v>124.55</v>
      </c>
      <c r="N388" s="3">
        <v>2</v>
      </c>
      <c r="O388" s="3">
        <v>20</v>
      </c>
      <c r="P388" s="3" t="s">
        <v>24</v>
      </c>
      <c r="Q388" s="3">
        <v>2</v>
      </c>
      <c r="R388" s="3">
        <v>1</v>
      </c>
      <c r="S388" s="3">
        <v>199.28</v>
      </c>
    </row>
    <row r="389" spans="1:19" x14ac:dyDescent="0.35">
      <c r="A389" s="3" t="s">
        <v>527</v>
      </c>
      <c r="B389" s="3">
        <v>1387</v>
      </c>
      <c r="C389">
        <v>22</v>
      </c>
      <c r="D389">
        <v>5</v>
      </c>
      <c r="E389">
        <v>2024</v>
      </c>
      <c r="F389" s="4">
        <f t="shared" si="6"/>
        <v>45434</v>
      </c>
      <c r="G389" s="3" t="s">
        <v>78</v>
      </c>
      <c r="H389" s="3">
        <v>59</v>
      </c>
      <c r="I389" s="3" t="s">
        <v>20</v>
      </c>
      <c r="J389" s="3" t="s">
        <v>21</v>
      </c>
      <c r="K389" s="3" t="s">
        <v>38</v>
      </c>
      <c r="L389" s="3" t="s">
        <v>125</v>
      </c>
      <c r="M389" s="3">
        <v>595.4</v>
      </c>
      <c r="N389" s="3">
        <v>1</v>
      </c>
      <c r="O389" s="3">
        <v>20</v>
      </c>
      <c r="P389" s="3" t="s">
        <v>29</v>
      </c>
      <c r="Q389" s="3">
        <v>5</v>
      </c>
      <c r="R389" s="3">
        <v>2</v>
      </c>
      <c r="S389" s="3">
        <v>476.32</v>
      </c>
    </row>
    <row r="390" spans="1:19" x14ac:dyDescent="0.35">
      <c r="A390" s="3" t="s">
        <v>528</v>
      </c>
      <c r="B390" s="3">
        <v>1388</v>
      </c>
      <c r="C390">
        <v>1</v>
      </c>
      <c r="D390">
        <v>4</v>
      </c>
      <c r="E390">
        <v>2024</v>
      </c>
      <c r="F390" s="4">
        <f t="shared" si="6"/>
        <v>45383</v>
      </c>
      <c r="G390" s="3" t="s">
        <v>70</v>
      </c>
      <c r="H390" s="3"/>
      <c r="I390" s="3" t="s">
        <v>32</v>
      </c>
      <c r="J390" s="3" t="s">
        <v>655</v>
      </c>
      <c r="K390" s="3" t="s">
        <v>22</v>
      </c>
      <c r="L390" s="3" t="s">
        <v>28</v>
      </c>
      <c r="M390" s="3">
        <v>111.63</v>
      </c>
      <c r="N390" s="3">
        <v>2</v>
      </c>
      <c r="O390" s="3">
        <v>20</v>
      </c>
      <c r="P390" s="3" t="s">
        <v>29</v>
      </c>
      <c r="Q390" s="3"/>
      <c r="R390" s="3">
        <v>1</v>
      </c>
      <c r="S390" s="3">
        <v>178.608</v>
      </c>
    </row>
    <row r="391" spans="1:19" x14ac:dyDescent="0.35">
      <c r="A391" s="3" t="s">
        <v>529</v>
      </c>
      <c r="B391" s="3">
        <v>1389</v>
      </c>
      <c r="C391">
        <v>19</v>
      </c>
      <c r="D391">
        <v>12</v>
      </c>
      <c r="E391">
        <v>2024</v>
      </c>
      <c r="F391" s="4">
        <f t="shared" si="6"/>
        <v>45645</v>
      </c>
      <c r="G391" s="3" t="s">
        <v>116</v>
      </c>
      <c r="H391" s="3">
        <v>54</v>
      </c>
      <c r="I391" s="3" t="s">
        <v>20</v>
      </c>
      <c r="J391" s="3" t="s">
        <v>21</v>
      </c>
      <c r="K391" s="3" t="s">
        <v>38</v>
      </c>
      <c r="L391" s="3" t="s">
        <v>125</v>
      </c>
      <c r="M391" s="3">
        <v>500.9</v>
      </c>
      <c r="N391" s="3">
        <v>2</v>
      </c>
      <c r="O391" s="3">
        <v>15</v>
      </c>
      <c r="P391" s="3" t="s">
        <v>654</v>
      </c>
      <c r="Q391" s="3"/>
      <c r="R391" s="3">
        <v>9</v>
      </c>
      <c r="S391" s="3">
        <v>851.53</v>
      </c>
    </row>
    <row r="392" spans="1:19" x14ac:dyDescent="0.35">
      <c r="A392" s="3" t="s">
        <v>530</v>
      </c>
      <c r="B392" s="3">
        <v>1390</v>
      </c>
      <c r="C392">
        <v>17</v>
      </c>
      <c r="D392">
        <v>11</v>
      </c>
      <c r="E392">
        <v>2024</v>
      </c>
      <c r="F392" s="4">
        <f t="shared" si="6"/>
        <v>45613</v>
      </c>
      <c r="G392" s="3" t="s">
        <v>158</v>
      </c>
      <c r="H392" s="3">
        <v>23</v>
      </c>
      <c r="I392" s="3" t="s">
        <v>20</v>
      </c>
      <c r="J392" s="3" t="s">
        <v>21</v>
      </c>
      <c r="K392" s="3" t="s">
        <v>22</v>
      </c>
      <c r="L392" s="3" t="s">
        <v>125</v>
      </c>
      <c r="M392" s="3">
        <v>500.39</v>
      </c>
      <c r="N392" s="3">
        <v>1</v>
      </c>
      <c r="O392" s="3">
        <v>20</v>
      </c>
      <c r="P392" s="3" t="s">
        <v>654</v>
      </c>
      <c r="Q392" s="3">
        <v>1</v>
      </c>
      <c r="R392" s="3">
        <v>9</v>
      </c>
      <c r="S392" s="3">
        <v>400.31200000000001</v>
      </c>
    </row>
    <row r="393" spans="1:19" x14ac:dyDescent="0.35">
      <c r="A393" s="3" t="s">
        <v>531</v>
      </c>
      <c r="B393" s="3">
        <v>1391</v>
      </c>
      <c r="C393">
        <v>14</v>
      </c>
      <c r="D393">
        <v>10</v>
      </c>
      <c r="E393">
        <v>2024</v>
      </c>
      <c r="F393" s="4">
        <f t="shared" si="6"/>
        <v>45579</v>
      </c>
      <c r="G393" s="3" t="s">
        <v>124</v>
      </c>
      <c r="H393" s="3">
        <v>43</v>
      </c>
      <c r="I393" s="3" t="s">
        <v>20</v>
      </c>
      <c r="J393" s="3" t="s">
        <v>21</v>
      </c>
      <c r="K393" s="3" t="s">
        <v>47</v>
      </c>
      <c r="L393" s="3" t="s">
        <v>23</v>
      </c>
      <c r="M393" s="3">
        <v>97.89</v>
      </c>
      <c r="N393" s="3">
        <v>4</v>
      </c>
      <c r="O393" s="3">
        <v>0</v>
      </c>
      <c r="P393" s="3" t="s">
        <v>29</v>
      </c>
      <c r="Q393" s="3"/>
      <c r="R393" s="3">
        <v>7</v>
      </c>
      <c r="S393" s="3">
        <v>391.56</v>
      </c>
    </row>
    <row r="394" spans="1:19" x14ac:dyDescent="0.35">
      <c r="A394" s="3" t="s">
        <v>532</v>
      </c>
      <c r="B394" s="3">
        <v>1392</v>
      </c>
      <c r="C394">
        <v>2</v>
      </c>
      <c r="D394">
        <v>8</v>
      </c>
      <c r="E394">
        <v>2024</v>
      </c>
      <c r="F394" s="4">
        <f t="shared" si="6"/>
        <v>45506</v>
      </c>
      <c r="G394" s="3" t="s">
        <v>287</v>
      </c>
      <c r="H394" s="3">
        <v>51</v>
      </c>
      <c r="I394" s="3" t="s">
        <v>20</v>
      </c>
      <c r="J394" s="3" t="s">
        <v>21</v>
      </c>
      <c r="K394" s="3" t="s">
        <v>22</v>
      </c>
      <c r="L394" s="3" t="s">
        <v>55</v>
      </c>
      <c r="M394" s="3">
        <v>431.61</v>
      </c>
      <c r="N394" s="3">
        <v>4</v>
      </c>
      <c r="O394" s="3">
        <v>20</v>
      </c>
      <c r="P394" s="3" t="s">
        <v>24</v>
      </c>
      <c r="Q394" s="3">
        <v>5</v>
      </c>
      <c r="R394" s="3">
        <v>2</v>
      </c>
      <c r="S394" s="3">
        <v>1381.152</v>
      </c>
    </row>
    <row r="395" spans="1:19" x14ac:dyDescent="0.35">
      <c r="A395" s="3" t="s">
        <v>533</v>
      </c>
      <c r="B395" s="3">
        <v>1393</v>
      </c>
      <c r="C395">
        <v>7</v>
      </c>
      <c r="D395">
        <v>12</v>
      </c>
      <c r="E395">
        <v>2024</v>
      </c>
      <c r="F395" s="4">
        <f t="shared" si="6"/>
        <v>45633</v>
      </c>
      <c r="G395" s="3" t="s">
        <v>354</v>
      </c>
      <c r="H395" s="3">
        <v>23</v>
      </c>
      <c r="I395" s="3" t="s">
        <v>32</v>
      </c>
      <c r="J395" s="3" t="s">
        <v>21</v>
      </c>
      <c r="K395" s="3" t="s">
        <v>34</v>
      </c>
      <c r="L395" s="3" t="s">
        <v>55</v>
      </c>
      <c r="M395" s="3">
        <v>150.97999999999999</v>
      </c>
      <c r="N395" s="3">
        <v>3</v>
      </c>
      <c r="O395" s="3">
        <v>5</v>
      </c>
      <c r="P395" s="3" t="s">
        <v>29</v>
      </c>
      <c r="Q395" s="3"/>
      <c r="R395" s="3">
        <v>6</v>
      </c>
      <c r="S395" s="3">
        <v>430.29300000000001</v>
      </c>
    </row>
    <row r="396" spans="1:19" x14ac:dyDescent="0.35">
      <c r="A396" s="3" t="s">
        <v>534</v>
      </c>
      <c r="B396" s="3">
        <v>1394</v>
      </c>
      <c r="C396">
        <v>20</v>
      </c>
      <c r="D396">
        <v>2</v>
      </c>
      <c r="E396">
        <v>2024</v>
      </c>
      <c r="F396" s="4">
        <f t="shared" si="6"/>
        <v>45342</v>
      </c>
      <c r="G396" s="3" t="s">
        <v>201</v>
      </c>
      <c r="H396" s="3"/>
      <c r="I396" s="3" t="s">
        <v>32</v>
      </c>
      <c r="J396" s="3" t="s">
        <v>655</v>
      </c>
      <c r="K396" s="3" t="s">
        <v>22</v>
      </c>
      <c r="L396" s="3" t="s">
        <v>35</v>
      </c>
      <c r="M396" s="3">
        <v>973.72</v>
      </c>
      <c r="N396" s="3">
        <v>2</v>
      </c>
      <c r="O396" s="3">
        <v>20</v>
      </c>
      <c r="P396" s="3" t="s">
        <v>654</v>
      </c>
      <c r="Q396" s="3"/>
      <c r="R396" s="3">
        <v>4</v>
      </c>
      <c r="S396" s="3">
        <v>1557.952</v>
      </c>
    </row>
    <row r="397" spans="1:19" x14ac:dyDescent="0.35">
      <c r="A397" s="3" t="s">
        <v>535</v>
      </c>
      <c r="B397" s="3">
        <v>1395</v>
      </c>
      <c r="C397">
        <v>1</v>
      </c>
      <c r="D397">
        <v>6</v>
      </c>
      <c r="E397">
        <v>2024</v>
      </c>
      <c r="F397" s="4">
        <f t="shared" si="6"/>
        <v>45444</v>
      </c>
      <c r="G397" s="3" t="s">
        <v>442</v>
      </c>
      <c r="H397" s="3">
        <v>50</v>
      </c>
      <c r="I397" s="3" t="s">
        <v>20</v>
      </c>
      <c r="J397" s="3" t="s">
        <v>27</v>
      </c>
      <c r="K397" s="3" t="s">
        <v>47</v>
      </c>
      <c r="L397" s="3" t="s">
        <v>23</v>
      </c>
      <c r="M397" s="3">
        <v>1138.27</v>
      </c>
      <c r="N397" s="3">
        <v>3</v>
      </c>
      <c r="O397" s="3">
        <v>15</v>
      </c>
      <c r="P397" s="3" t="s">
        <v>654</v>
      </c>
      <c r="Q397" s="3"/>
      <c r="R397" s="3">
        <v>1</v>
      </c>
      <c r="S397" s="3">
        <v>2902.5884999999998</v>
      </c>
    </row>
    <row r="398" spans="1:19" x14ac:dyDescent="0.35">
      <c r="A398" s="3" t="s">
        <v>536</v>
      </c>
      <c r="B398" s="3">
        <v>1396</v>
      </c>
      <c r="C398">
        <v>4</v>
      </c>
      <c r="D398">
        <v>7</v>
      </c>
      <c r="E398">
        <v>2024</v>
      </c>
      <c r="F398" s="4">
        <f t="shared" si="6"/>
        <v>45477</v>
      </c>
      <c r="G398" s="3" t="s">
        <v>40</v>
      </c>
      <c r="H398" s="3">
        <v>39</v>
      </c>
      <c r="I398" s="3" t="s">
        <v>32</v>
      </c>
      <c r="J398" s="3" t="s">
        <v>33</v>
      </c>
      <c r="K398" s="3" t="s">
        <v>34</v>
      </c>
      <c r="L398" s="3" t="s">
        <v>125</v>
      </c>
      <c r="M398" s="3">
        <v>105.33</v>
      </c>
      <c r="N398" s="3">
        <v>3</v>
      </c>
      <c r="O398" s="3">
        <v>5</v>
      </c>
      <c r="P398" s="3" t="s">
        <v>29</v>
      </c>
      <c r="Q398" s="3"/>
      <c r="R398" s="3">
        <v>1</v>
      </c>
      <c r="S398" s="3">
        <v>300.19049999999999</v>
      </c>
    </row>
    <row r="399" spans="1:19" x14ac:dyDescent="0.35">
      <c r="A399" s="3" t="s">
        <v>537</v>
      </c>
      <c r="B399" s="3">
        <v>1397</v>
      </c>
      <c r="C399">
        <v>3</v>
      </c>
      <c r="D399">
        <v>3</v>
      </c>
      <c r="E399">
        <v>2024</v>
      </c>
      <c r="F399" s="4">
        <f t="shared" si="6"/>
        <v>45354</v>
      </c>
      <c r="G399" s="3" t="s">
        <v>113</v>
      </c>
      <c r="H399" s="3">
        <v>38</v>
      </c>
      <c r="I399" s="3" t="s">
        <v>32</v>
      </c>
      <c r="J399" s="3" t="s">
        <v>46</v>
      </c>
      <c r="K399" s="3" t="s">
        <v>41</v>
      </c>
      <c r="L399" s="3" t="s">
        <v>48</v>
      </c>
      <c r="M399" s="3">
        <v>1147.04</v>
      </c>
      <c r="N399" s="3">
        <v>1</v>
      </c>
      <c r="O399" s="3">
        <v>0</v>
      </c>
      <c r="P399" s="3" t="s">
        <v>24</v>
      </c>
      <c r="Q399" s="3">
        <v>5</v>
      </c>
      <c r="R399" s="3">
        <v>5</v>
      </c>
      <c r="S399" s="3">
        <v>1147.04</v>
      </c>
    </row>
    <row r="400" spans="1:19" x14ac:dyDescent="0.35">
      <c r="A400" s="3" t="s">
        <v>538</v>
      </c>
      <c r="B400" s="3">
        <v>1398</v>
      </c>
      <c r="C400">
        <v>8</v>
      </c>
      <c r="D400">
        <v>7</v>
      </c>
      <c r="E400">
        <v>2024</v>
      </c>
      <c r="F400" s="4">
        <f t="shared" si="6"/>
        <v>45481</v>
      </c>
      <c r="G400" s="3" t="s">
        <v>310</v>
      </c>
      <c r="H400" s="3">
        <v>23</v>
      </c>
      <c r="I400" s="3" t="s">
        <v>32</v>
      </c>
      <c r="J400" s="3" t="s">
        <v>33</v>
      </c>
      <c r="K400" s="3" t="s">
        <v>41</v>
      </c>
      <c r="L400" s="3" t="s">
        <v>55</v>
      </c>
      <c r="M400" s="3">
        <v>636.64</v>
      </c>
      <c r="N400" s="3">
        <v>1</v>
      </c>
      <c r="O400" s="3">
        <v>0</v>
      </c>
      <c r="P400" s="3" t="s">
        <v>29</v>
      </c>
      <c r="Q400" s="3"/>
      <c r="R400" s="3">
        <v>2</v>
      </c>
      <c r="S400" s="3">
        <v>636.64</v>
      </c>
    </row>
    <row r="401" spans="1:19" x14ac:dyDescent="0.35">
      <c r="A401" s="3" t="s">
        <v>539</v>
      </c>
      <c r="B401" s="3">
        <v>1399</v>
      </c>
      <c r="C401">
        <v>4</v>
      </c>
      <c r="D401">
        <v>5</v>
      </c>
      <c r="E401">
        <v>2024</v>
      </c>
      <c r="F401" s="4">
        <f t="shared" si="6"/>
        <v>45416</v>
      </c>
      <c r="G401" s="3" t="s">
        <v>102</v>
      </c>
      <c r="H401" s="3">
        <v>23</v>
      </c>
      <c r="I401" s="3" t="s">
        <v>20</v>
      </c>
      <c r="J401" s="3" t="s">
        <v>33</v>
      </c>
      <c r="K401" s="3" t="s">
        <v>22</v>
      </c>
      <c r="L401" s="3" t="s">
        <v>28</v>
      </c>
      <c r="M401" s="3">
        <v>373.49</v>
      </c>
      <c r="N401" s="3">
        <v>1</v>
      </c>
      <c r="O401" s="3">
        <v>10</v>
      </c>
      <c r="P401" s="3" t="s">
        <v>29</v>
      </c>
      <c r="Q401" s="3">
        <v>5</v>
      </c>
      <c r="R401" s="3">
        <v>4</v>
      </c>
      <c r="S401" s="3">
        <v>336.14100000000002</v>
      </c>
    </row>
    <row r="402" spans="1:19" x14ac:dyDescent="0.35">
      <c r="A402" s="3" t="s">
        <v>540</v>
      </c>
      <c r="B402" s="3">
        <v>1400</v>
      </c>
      <c r="C402">
        <v>29</v>
      </c>
      <c r="D402">
        <v>5</v>
      </c>
      <c r="E402">
        <v>2024</v>
      </c>
      <c r="F402" s="4">
        <f t="shared" si="6"/>
        <v>45441</v>
      </c>
      <c r="G402" s="3" t="s">
        <v>388</v>
      </c>
      <c r="H402" s="3">
        <v>21</v>
      </c>
      <c r="I402" s="3" t="s">
        <v>20</v>
      </c>
      <c r="J402" s="3" t="s">
        <v>27</v>
      </c>
      <c r="K402" s="3" t="s">
        <v>22</v>
      </c>
      <c r="L402" s="3" t="s">
        <v>28</v>
      </c>
      <c r="M402" s="3">
        <v>110.7</v>
      </c>
      <c r="N402" s="3">
        <v>2</v>
      </c>
      <c r="O402" s="3">
        <v>5</v>
      </c>
      <c r="P402" s="3" t="s">
        <v>654</v>
      </c>
      <c r="Q402" s="3">
        <v>3</v>
      </c>
      <c r="R402" s="3">
        <v>1</v>
      </c>
      <c r="S402" s="3">
        <v>210.33</v>
      </c>
    </row>
    <row r="403" spans="1:19" x14ac:dyDescent="0.35">
      <c r="A403" s="3" t="s">
        <v>541</v>
      </c>
      <c r="B403" s="3">
        <v>1401</v>
      </c>
      <c r="C403">
        <v>9</v>
      </c>
      <c r="D403">
        <v>11</v>
      </c>
      <c r="E403">
        <v>2024</v>
      </c>
      <c r="F403" s="4">
        <f t="shared" si="6"/>
        <v>45605</v>
      </c>
      <c r="G403" s="3" t="s">
        <v>291</v>
      </c>
      <c r="H403" s="3">
        <v>47</v>
      </c>
      <c r="I403" s="3" t="s">
        <v>20</v>
      </c>
      <c r="J403" s="3" t="s">
        <v>27</v>
      </c>
      <c r="K403" s="3" t="s">
        <v>47</v>
      </c>
      <c r="L403" s="3" t="s">
        <v>42</v>
      </c>
      <c r="M403" s="3">
        <v>610.74</v>
      </c>
      <c r="N403" s="3">
        <v>1</v>
      </c>
      <c r="O403" s="3">
        <v>10</v>
      </c>
      <c r="P403" s="3" t="s">
        <v>24</v>
      </c>
      <c r="Q403" s="3">
        <v>5</v>
      </c>
      <c r="R403" s="3">
        <v>4</v>
      </c>
      <c r="S403" s="3">
        <v>549.66600000000005</v>
      </c>
    </row>
    <row r="404" spans="1:19" x14ac:dyDescent="0.35">
      <c r="A404" s="3" t="s">
        <v>542</v>
      </c>
      <c r="B404" s="3">
        <v>1402</v>
      </c>
      <c r="C404">
        <v>27</v>
      </c>
      <c r="D404">
        <v>2</v>
      </c>
      <c r="E404">
        <v>2024</v>
      </c>
      <c r="F404" s="4">
        <f t="shared" si="6"/>
        <v>45349</v>
      </c>
      <c r="G404" s="3" t="s">
        <v>266</v>
      </c>
      <c r="H404" s="3">
        <v>28</v>
      </c>
      <c r="I404" s="3" t="s">
        <v>32</v>
      </c>
      <c r="J404" s="3" t="s">
        <v>27</v>
      </c>
      <c r="K404" s="3" t="s">
        <v>47</v>
      </c>
      <c r="L404" s="3" t="s">
        <v>64</v>
      </c>
      <c r="M404" s="3">
        <v>957.53</v>
      </c>
      <c r="N404" s="3">
        <v>1</v>
      </c>
      <c r="O404" s="3">
        <v>5</v>
      </c>
      <c r="P404" s="3" t="s">
        <v>653</v>
      </c>
      <c r="Q404" s="3">
        <v>1</v>
      </c>
      <c r="R404" s="3">
        <v>6</v>
      </c>
      <c r="S404" s="3">
        <v>909.65350000000001</v>
      </c>
    </row>
    <row r="405" spans="1:19" x14ac:dyDescent="0.35">
      <c r="A405" s="3" t="s">
        <v>543</v>
      </c>
      <c r="B405" s="3">
        <v>1403</v>
      </c>
      <c r="C405">
        <v>7</v>
      </c>
      <c r="D405">
        <v>12</v>
      </c>
      <c r="E405">
        <v>2024</v>
      </c>
      <c r="F405" s="4">
        <f t="shared" si="6"/>
        <v>45633</v>
      </c>
      <c r="G405" s="3" t="s">
        <v>324</v>
      </c>
      <c r="H405" s="3">
        <v>47</v>
      </c>
      <c r="I405" s="3" t="s">
        <v>20</v>
      </c>
      <c r="J405" s="3" t="s">
        <v>21</v>
      </c>
      <c r="K405" s="3" t="s">
        <v>38</v>
      </c>
      <c r="L405" s="3" t="s">
        <v>48</v>
      </c>
      <c r="M405" s="3">
        <v>854.36</v>
      </c>
      <c r="N405" s="3">
        <v>2</v>
      </c>
      <c r="O405" s="3">
        <v>5</v>
      </c>
      <c r="P405" s="3" t="s">
        <v>24</v>
      </c>
      <c r="Q405" s="3">
        <v>5</v>
      </c>
      <c r="R405" s="3">
        <v>4</v>
      </c>
      <c r="S405" s="3">
        <v>1623.2840000000001</v>
      </c>
    </row>
    <row r="406" spans="1:19" x14ac:dyDescent="0.35">
      <c r="A406" s="3" t="s">
        <v>544</v>
      </c>
      <c r="B406" s="3">
        <v>1404</v>
      </c>
      <c r="C406">
        <v>31</v>
      </c>
      <c r="D406">
        <v>10</v>
      </c>
      <c r="E406">
        <v>2024</v>
      </c>
      <c r="F406" s="4">
        <f t="shared" si="6"/>
        <v>45596</v>
      </c>
      <c r="G406" s="3" t="s">
        <v>164</v>
      </c>
      <c r="H406" s="3">
        <v>48</v>
      </c>
      <c r="I406" s="3" t="s">
        <v>20</v>
      </c>
      <c r="J406" s="3" t="s">
        <v>51</v>
      </c>
      <c r="K406" s="3" t="s">
        <v>47</v>
      </c>
      <c r="L406" s="3" t="s">
        <v>55</v>
      </c>
      <c r="M406" s="3">
        <v>79.27</v>
      </c>
      <c r="N406" s="3">
        <v>2</v>
      </c>
      <c r="O406" s="3">
        <v>15</v>
      </c>
      <c r="P406" s="3" t="s">
        <v>29</v>
      </c>
      <c r="Q406" s="3">
        <v>3</v>
      </c>
      <c r="R406" s="3">
        <v>1</v>
      </c>
      <c r="S406" s="3">
        <v>134.75899999999999</v>
      </c>
    </row>
    <row r="407" spans="1:19" x14ac:dyDescent="0.35">
      <c r="A407" s="3" t="s">
        <v>545</v>
      </c>
      <c r="B407" s="3">
        <v>1405</v>
      </c>
      <c r="C407">
        <v>28</v>
      </c>
      <c r="D407">
        <v>6</v>
      </c>
      <c r="E407">
        <v>2024</v>
      </c>
      <c r="F407" s="4">
        <f t="shared" si="6"/>
        <v>45471</v>
      </c>
      <c r="G407" s="3" t="s">
        <v>299</v>
      </c>
      <c r="H407" s="3">
        <v>41</v>
      </c>
      <c r="I407" s="3" t="s">
        <v>32</v>
      </c>
      <c r="J407" s="3" t="s">
        <v>21</v>
      </c>
      <c r="K407" s="3" t="s">
        <v>38</v>
      </c>
      <c r="L407" s="3" t="s">
        <v>96</v>
      </c>
      <c r="M407" s="3">
        <v>106.02</v>
      </c>
      <c r="N407" s="3">
        <v>4</v>
      </c>
      <c r="O407" s="3">
        <v>10</v>
      </c>
      <c r="P407" s="3" t="s">
        <v>29</v>
      </c>
      <c r="Q407" s="3">
        <v>4</v>
      </c>
      <c r="R407" s="3">
        <v>7</v>
      </c>
      <c r="S407" s="3">
        <v>381.67200000000003</v>
      </c>
    </row>
    <row r="408" spans="1:19" x14ac:dyDescent="0.35">
      <c r="A408" s="3" t="s">
        <v>546</v>
      </c>
      <c r="B408" s="3">
        <v>1406</v>
      </c>
      <c r="C408">
        <v>18</v>
      </c>
      <c r="D408">
        <v>6</v>
      </c>
      <c r="E408">
        <v>2024</v>
      </c>
      <c r="F408" s="4">
        <f t="shared" si="6"/>
        <v>45461</v>
      </c>
      <c r="G408" s="3" t="s">
        <v>111</v>
      </c>
      <c r="H408" s="3"/>
      <c r="I408" s="3" t="s">
        <v>20</v>
      </c>
      <c r="J408" s="3" t="s">
        <v>655</v>
      </c>
      <c r="K408" s="3" t="s">
        <v>34</v>
      </c>
      <c r="L408" s="3" t="s">
        <v>55</v>
      </c>
      <c r="M408" s="3">
        <v>495.39</v>
      </c>
      <c r="N408" s="3">
        <v>1</v>
      </c>
      <c r="O408" s="3">
        <v>15</v>
      </c>
      <c r="P408" s="3" t="s">
        <v>29</v>
      </c>
      <c r="Q408" s="3"/>
      <c r="R408" s="3">
        <v>2</v>
      </c>
      <c r="S408" s="3">
        <v>421.08150000000001</v>
      </c>
    </row>
    <row r="409" spans="1:19" x14ac:dyDescent="0.35">
      <c r="A409" s="3" t="s">
        <v>547</v>
      </c>
      <c r="B409" s="3">
        <v>1407</v>
      </c>
      <c r="C409">
        <v>21</v>
      </c>
      <c r="D409">
        <v>11</v>
      </c>
      <c r="E409">
        <v>2024</v>
      </c>
      <c r="F409" s="4">
        <f t="shared" si="6"/>
        <v>45617</v>
      </c>
      <c r="G409" s="3" t="s">
        <v>548</v>
      </c>
      <c r="H409" s="3">
        <v>20</v>
      </c>
      <c r="I409" s="3" t="s">
        <v>20</v>
      </c>
      <c r="J409" s="3" t="s">
        <v>51</v>
      </c>
      <c r="K409" s="3" t="s">
        <v>22</v>
      </c>
      <c r="L409" s="3" t="s">
        <v>42</v>
      </c>
      <c r="M409" s="3">
        <v>368.44</v>
      </c>
      <c r="N409" s="3">
        <v>1</v>
      </c>
      <c r="O409" s="3">
        <v>5</v>
      </c>
      <c r="P409" s="3" t="s">
        <v>24</v>
      </c>
      <c r="Q409" s="3">
        <v>5</v>
      </c>
      <c r="R409" s="3">
        <v>9</v>
      </c>
      <c r="S409" s="3">
        <v>350.01799999999997</v>
      </c>
    </row>
    <row r="410" spans="1:19" x14ac:dyDescent="0.35">
      <c r="A410" s="3" t="s">
        <v>549</v>
      </c>
      <c r="B410" s="3">
        <v>1408</v>
      </c>
      <c r="C410">
        <v>27</v>
      </c>
      <c r="D410">
        <v>9</v>
      </c>
      <c r="E410">
        <v>2024</v>
      </c>
      <c r="F410" s="4">
        <f t="shared" si="6"/>
        <v>45562</v>
      </c>
      <c r="G410" s="3" t="s">
        <v>50</v>
      </c>
      <c r="H410" s="3"/>
      <c r="I410" s="3" t="s">
        <v>32</v>
      </c>
      <c r="J410" s="3" t="s">
        <v>655</v>
      </c>
      <c r="K410" s="3" t="s">
        <v>34</v>
      </c>
      <c r="L410" s="3" t="s">
        <v>28</v>
      </c>
      <c r="M410" s="3">
        <v>294.20999999999998</v>
      </c>
      <c r="N410" s="3">
        <v>1</v>
      </c>
      <c r="O410" s="3">
        <v>0</v>
      </c>
      <c r="P410" s="3" t="s">
        <v>654</v>
      </c>
      <c r="Q410" s="3"/>
      <c r="R410" s="3">
        <v>3</v>
      </c>
      <c r="S410" s="3">
        <v>294.20999999999998</v>
      </c>
    </row>
    <row r="411" spans="1:19" x14ac:dyDescent="0.35">
      <c r="A411" s="3" t="s">
        <v>550</v>
      </c>
      <c r="B411" s="3">
        <v>1409</v>
      </c>
      <c r="C411">
        <v>23</v>
      </c>
      <c r="D411">
        <v>2</v>
      </c>
      <c r="E411">
        <v>2024</v>
      </c>
      <c r="F411" s="4">
        <f t="shared" si="6"/>
        <v>45345</v>
      </c>
      <c r="G411" s="3" t="s">
        <v>354</v>
      </c>
      <c r="H411" s="3">
        <v>57</v>
      </c>
      <c r="I411" s="3" t="s">
        <v>32</v>
      </c>
      <c r="J411" s="3" t="s">
        <v>33</v>
      </c>
      <c r="K411" s="3" t="s">
        <v>47</v>
      </c>
      <c r="L411" s="3" t="s">
        <v>125</v>
      </c>
      <c r="M411" s="3">
        <v>351.59</v>
      </c>
      <c r="N411" s="3">
        <v>4</v>
      </c>
      <c r="O411" s="3">
        <v>5</v>
      </c>
      <c r="P411" s="3" t="s">
        <v>29</v>
      </c>
      <c r="Q411" s="3">
        <v>2</v>
      </c>
      <c r="R411" s="3">
        <v>8</v>
      </c>
      <c r="S411" s="3">
        <v>1336.0419999999999</v>
      </c>
    </row>
    <row r="412" spans="1:19" x14ac:dyDescent="0.35">
      <c r="A412" s="3" t="s">
        <v>551</v>
      </c>
      <c r="B412" s="3">
        <v>1410</v>
      </c>
      <c r="C412">
        <v>10</v>
      </c>
      <c r="D412">
        <v>4</v>
      </c>
      <c r="E412">
        <v>2024</v>
      </c>
      <c r="F412" s="4">
        <f t="shared" si="6"/>
        <v>45392</v>
      </c>
      <c r="G412" s="3" t="s">
        <v>76</v>
      </c>
      <c r="H412" s="3">
        <v>54</v>
      </c>
      <c r="I412" s="3" t="s">
        <v>32</v>
      </c>
      <c r="J412" s="3" t="s">
        <v>51</v>
      </c>
      <c r="K412" s="3" t="s">
        <v>34</v>
      </c>
      <c r="L412" s="3" t="s">
        <v>96</v>
      </c>
      <c r="M412" s="3">
        <v>968.11</v>
      </c>
      <c r="N412" s="3">
        <v>1</v>
      </c>
      <c r="O412" s="3">
        <v>15</v>
      </c>
      <c r="P412" s="3" t="s">
        <v>29</v>
      </c>
      <c r="Q412" s="3">
        <v>1</v>
      </c>
      <c r="R412" s="3">
        <v>8</v>
      </c>
      <c r="S412" s="3">
        <v>822.89350000000002</v>
      </c>
    </row>
    <row r="413" spans="1:19" x14ac:dyDescent="0.35">
      <c r="A413" s="3" t="s">
        <v>552</v>
      </c>
      <c r="B413" s="3">
        <v>1411</v>
      </c>
      <c r="C413">
        <v>20</v>
      </c>
      <c r="D413">
        <v>9</v>
      </c>
      <c r="E413">
        <v>2024</v>
      </c>
      <c r="F413" s="4">
        <f t="shared" si="6"/>
        <v>45555</v>
      </c>
      <c r="G413" s="3" t="s">
        <v>403</v>
      </c>
      <c r="H413" s="3">
        <v>53</v>
      </c>
      <c r="I413" s="3" t="s">
        <v>20</v>
      </c>
      <c r="J413" s="3" t="s">
        <v>51</v>
      </c>
      <c r="K413" s="3" t="s">
        <v>34</v>
      </c>
      <c r="L413" s="3" t="s">
        <v>23</v>
      </c>
      <c r="M413" s="3">
        <v>1116.49</v>
      </c>
      <c r="N413" s="3">
        <v>4</v>
      </c>
      <c r="O413" s="3">
        <v>10</v>
      </c>
      <c r="P413" s="3" t="s">
        <v>24</v>
      </c>
      <c r="Q413" s="3">
        <v>1</v>
      </c>
      <c r="R413" s="3">
        <v>3</v>
      </c>
      <c r="S413" s="3">
        <v>4019.364</v>
      </c>
    </row>
    <row r="414" spans="1:19" x14ac:dyDescent="0.35">
      <c r="A414" s="3" t="s">
        <v>553</v>
      </c>
      <c r="B414" s="3">
        <v>1412</v>
      </c>
      <c r="C414">
        <v>22</v>
      </c>
      <c r="D414">
        <v>2</v>
      </c>
      <c r="E414">
        <v>2024</v>
      </c>
      <c r="F414" s="4">
        <f t="shared" si="6"/>
        <v>45344</v>
      </c>
      <c r="G414" s="3" t="s">
        <v>287</v>
      </c>
      <c r="H414" s="3">
        <v>41</v>
      </c>
      <c r="I414" s="3" t="s">
        <v>20</v>
      </c>
      <c r="J414" s="3" t="s">
        <v>21</v>
      </c>
      <c r="K414" s="3" t="s">
        <v>34</v>
      </c>
      <c r="L414" s="3" t="s">
        <v>79</v>
      </c>
      <c r="M414" s="3">
        <v>498.02</v>
      </c>
      <c r="N414" s="3">
        <v>3</v>
      </c>
      <c r="O414" s="3">
        <v>10</v>
      </c>
      <c r="P414" s="3" t="s">
        <v>653</v>
      </c>
      <c r="Q414" s="3">
        <v>2</v>
      </c>
      <c r="R414" s="3">
        <v>4</v>
      </c>
      <c r="S414" s="3">
        <v>1344.654</v>
      </c>
    </row>
    <row r="415" spans="1:19" x14ac:dyDescent="0.35">
      <c r="A415" s="3" t="s">
        <v>554</v>
      </c>
      <c r="B415" s="3">
        <v>1413</v>
      </c>
      <c r="C415">
        <v>29</v>
      </c>
      <c r="D415">
        <v>2</v>
      </c>
      <c r="E415">
        <v>2024</v>
      </c>
      <c r="F415" s="4">
        <f t="shared" si="6"/>
        <v>45351</v>
      </c>
      <c r="G415" s="3" t="s">
        <v>264</v>
      </c>
      <c r="H415" s="3">
        <v>48</v>
      </c>
      <c r="I415" s="3" t="s">
        <v>20</v>
      </c>
      <c r="J415" s="3" t="s">
        <v>21</v>
      </c>
      <c r="K415" s="3" t="s">
        <v>47</v>
      </c>
      <c r="L415" s="3" t="s">
        <v>125</v>
      </c>
      <c r="M415" s="3">
        <v>1089.21</v>
      </c>
      <c r="N415" s="3">
        <v>4</v>
      </c>
      <c r="O415" s="3">
        <v>15</v>
      </c>
      <c r="P415" s="3" t="s">
        <v>653</v>
      </c>
      <c r="Q415" s="3">
        <v>2</v>
      </c>
      <c r="R415" s="3">
        <v>2</v>
      </c>
      <c r="S415" s="3">
        <v>3703.3139999999999</v>
      </c>
    </row>
    <row r="416" spans="1:19" x14ac:dyDescent="0.35">
      <c r="A416" s="3" t="s">
        <v>555</v>
      </c>
      <c r="B416" s="3">
        <v>1414</v>
      </c>
      <c r="C416">
        <v>17</v>
      </c>
      <c r="D416">
        <v>4</v>
      </c>
      <c r="E416">
        <v>2024</v>
      </c>
      <c r="F416" s="4">
        <f t="shared" si="6"/>
        <v>45399</v>
      </c>
      <c r="G416" s="3" t="s">
        <v>116</v>
      </c>
      <c r="H416" s="3">
        <v>23</v>
      </c>
      <c r="I416" s="3" t="s">
        <v>32</v>
      </c>
      <c r="J416" s="3" t="s">
        <v>33</v>
      </c>
      <c r="K416" s="3" t="s">
        <v>34</v>
      </c>
      <c r="L416" s="3" t="s">
        <v>79</v>
      </c>
      <c r="M416" s="3">
        <v>399.36</v>
      </c>
      <c r="N416" s="3">
        <v>3</v>
      </c>
      <c r="O416" s="3">
        <v>10</v>
      </c>
      <c r="P416" s="3" t="s">
        <v>654</v>
      </c>
      <c r="Q416" s="3">
        <v>5</v>
      </c>
      <c r="R416" s="3">
        <v>4</v>
      </c>
      <c r="S416" s="3">
        <v>1078.2719999999999</v>
      </c>
    </row>
    <row r="417" spans="1:19" x14ac:dyDescent="0.35">
      <c r="A417" s="3" t="s">
        <v>556</v>
      </c>
      <c r="B417" s="3">
        <v>1415</v>
      </c>
      <c r="C417">
        <v>5</v>
      </c>
      <c r="D417">
        <v>1</v>
      </c>
      <c r="E417">
        <v>2024</v>
      </c>
      <c r="F417" s="4">
        <f t="shared" si="6"/>
        <v>45296</v>
      </c>
      <c r="G417" s="3" t="s">
        <v>140</v>
      </c>
      <c r="H417" s="3">
        <v>19</v>
      </c>
      <c r="I417" s="3" t="s">
        <v>32</v>
      </c>
      <c r="J417" s="3" t="s">
        <v>27</v>
      </c>
      <c r="K417" s="3" t="s">
        <v>38</v>
      </c>
      <c r="L417" s="3" t="s">
        <v>48</v>
      </c>
      <c r="M417" s="3">
        <v>582.20000000000005</v>
      </c>
      <c r="N417" s="3">
        <v>1</v>
      </c>
      <c r="O417" s="3">
        <v>20</v>
      </c>
      <c r="P417" s="3" t="s">
        <v>654</v>
      </c>
      <c r="Q417" s="3">
        <v>2</v>
      </c>
      <c r="R417" s="3">
        <v>9</v>
      </c>
      <c r="S417" s="3">
        <v>465.76</v>
      </c>
    </row>
    <row r="418" spans="1:19" x14ac:dyDescent="0.35">
      <c r="A418" s="3" t="s">
        <v>557</v>
      </c>
      <c r="B418" s="3">
        <v>1416</v>
      </c>
      <c r="C418">
        <v>12</v>
      </c>
      <c r="D418">
        <v>4</v>
      </c>
      <c r="E418">
        <v>2024</v>
      </c>
      <c r="F418" s="4">
        <f t="shared" si="6"/>
        <v>45394</v>
      </c>
      <c r="G418" s="3" t="s">
        <v>237</v>
      </c>
      <c r="H418" s="3">
        <v>37</v>
      </c>
      <c r="I418" s="3" t="s">
        <v>20</v>
      </c>
      <c r="J418" s="3" t="s">
        <v>51</v>
      </c>
      <c r="K418" s="3" t="s">
        <v>47</v>
      </c>
      <c r="L418" s="3" t="s">
        <v>64</v>
      </c>
      <c r="M418" s="3">
        <v>286.70999999999998</v>
      </c>
      <c r="N418" s="3">
        <v>3</v>
      </c>
      <c r="O418" s="3">
        <v>0</v>
      </c>
      <c r="P418" s="3" t="s">
        <v>29</v>
      </c>
      <c r="Q418" s="3">
        <v>4</v>
      </c>
      <c r="R418" s="3">
        <v>2</v>
      </c>
      <c r="S418" s="3">
        <v>860.13</v>
      </c>
    </row>
    <row r="419" spans="1:19" x14ac:dyDescent="0.35">
      <c r="A419" s="3" t="s">
        <v>558</v>
      </c>
      <c r="B419" s="3">
        <v>1417</v>
      </c>
      <c r="C419">
        <v>14</v>
      </c>
      <c r="D419">
        <v>7</v>
      </c>
      <c r="E419">
        <v>2024</v>
      </c>
      <c r="F419" s="4">
        <f t="shared" si="6"/>
        <v>45487</v>
      </c>
      <c r="G419" s="3" t="s">
        <v>134</v>
      </c>
      <c r="H419" s="3">
        <v>45</v>
      </c>
      <c r="I419" s="3" t="s">
        <v>20</v>
      </c>
      <c r="J419" s="3" t="s">
        <v>21</v>
      </c>
      <c r="K419" s="3" t="s">
        <v>34</v>
      </c>
      <c r="L419" s="3" t="s">
        <v>96</v>
      </c>
      <c r="M419" s="3">
        <v>775.76</v>
      </c>
      <c r="N419" s="3">
        <v>4</v>
      </c>
      <c r="O419" s="3">
        <v>0</v>
      </c>
      <c r="P419" s="3" t="s">
        <v>24</v>
      </c>
      <c r="Q419" s="3"/>
      <c r="R419" s="3">
        <v>3</v>
      </c>
      <c r="S419" s="3">
        <v>3103.04</v>
      </c>
    </row>
    <row r="420" spans="1:19" x14ac:dyDescent="0.35">
      <c r="A420" s="3" t="s">
        <v>559</v>
      </c>
      <c r="B420" s="3">
        <v>1418</v>
      </c>
      <c r="C420">
        <v>18</v>
      </c>
      <c r="D420">
        <v>9</v>
      </c>
      <c r="E420">
        <v>2024</v>
      </c>
      <c r="F420" s="4">
        <f t="shared" si="6"/>
        <v>45553</v>
      </c>
      <c r="G420" s="3" t="s">
        <v>85</v>
      </c>
      <c r="H420" s="3">
        <v>28</v>
      </c>
      <c r="I420" s="3" t="s">
        <v>32</v>
      </c>
      <c r="J420" s="3" t="s">
        <v>33</v>
      </c>
      <c r="K420" s="3" t="s">
        <v>47</v>
      </c>
      <c r="L420" s="3" t="s">
        <v>35</v>
      </c>
      <c r="M420" s="3">
        <v>1175.2</v>
      </c>
      <c r="N420" s="3">
        <v>2</v>
      </c>
      <c r="O420" s="3">
        <v>0</v>
      </c>
      <c r="P420" s="3" t="s">
        <v>29</v>
      </c>
      <c r="Q420" s="3"/>
      <c r="R420" s="3">
        <v>4</v>
      </c>
      <c r="S420" s="3">
        <v>2350.4</v>
      </c>
    </row>
    <row r="421" spans="1:19" x14ac:dyDescent="0.35">
      <c r="A421" s="3" t="s">
        <v>560</v>
      </c>
      <c r="B421" s="3">
        <v>1419</v>
      </c>
      <c r="C421">
        <v>30</v>
      </c>
      <c r="D421">
        <v>12</v>
      </c>
      <c r="E421">
        <v>2024</v>
      </c>
      <c r="F421" s="4">
        <f t="shared" si="6"/>
        <v>45656</v>
      </c>
      <c r="G421" s="3" t="s">
        <v>118</v>
      </c>
      <c r="H421" s="3">
        <v>21</v>
      </c>
      <c r="I421" s="3" t="s">
        <v>32</v>
      </c>
      <c r="J421" s="3" t="s">
        <v>21</v>
      </c>
      <c r="K421" s="3" t="s">
        <v>41</v>
      </c>
      <c r="L421" s="3" t="s">
        <v>96</v>
      </c>
      <c r="M421" s="3">
        <v>732.12</v>
      </c>
      <c r="N421" s="3">
        <v>3</v>
      </c>
      <c r="O421" s="3">
        <v>10</v>
      </c>
      <c r="P421" s="3" t="s">
        <v>654</v>
      </c>
      <c r="Q421" s="3">
        <v>3</v>
      </c>
      <c r="R421" s="3">
        <v>5</v>
      </c>
      <c r="S421" s="3">
        <v>1976.7239999999999</v>
      </c>
    </row>
    <row r="422" spans="1:19" x14ac:dyDescent="0.35">
      <c r="A422" s="3" t="s">
        <v>561</v>
      </c>
      <c r="B422" s="3">
        <v>1420</v>
      </c>
      <c r="C422">
        <v>15</v>
      </c>
      <c r="D422">
        <v>12</v>
      </c>
      <c r="E422">
        <v>2024</v>
      </c>
      <c r="F422" s="4">
        <f t="shared" si="6"/>
        <v>45641</v>
      </c>
      <c r="G422" s="3" t="s">
        <v>87</v>
      </c>
      <c r="H422" s="3">
        <v>32</v>
      </c>
      <c r="I422" s="3" t="s">
        <v>32</v>
      </c>
      <c r="J422" s="3" t="s">
        <v>51</v>
      </c>
      <c r="K422" s="3" t="s">
        <v>38</v>
      </c>
      <c r="L422" s="3" t="s">
        <v>55</v>
      </c>
      <c r="M422" s="3">
        <v>442.22</v>
      </c>
      <c r="N422" s="3">
        <v>3</v>
      </c>
      <c r="O422" s="3">
        <v>10</v>
      </c>
      <c r="P422" s="3" t="s">
        <v>24</v>
      </c>
      <c r="Q422" s="3">
        <v>2</v>
      </c>
      <c r="R422" s="3">
        <v>1</v>
      </c>
      <c r="S422" s="3">
        <v>1193.9939999999999</v>
      </c>
    </row>
    <row r="423" spans="1:19" x14ac:dyDescent="0.35">
      <c r="A423" s="3" t="s">
        <v>562</v>
      </c>
      <c r="B423" s="3">
        <v>1421</v>
      </c>
      <c r="C423">
        <v>16</v>
      </c>
      <c r="D423">
        <v>2</v>
      </c>
      <c r="E423">
        <v>2024</v>
      </c>
      <c r="F423" s="4">
        <f t="shared" si="6"/>
        <v>45338</v>
      </c>
      <c r="G423" s="3" t="s">
        <v>83</v>
      </c>
      <c r="H423" s="3">
        <v>23</v>
      </c>
      <c r="I423" s="3" t="s">
        <v>32</v>
      </c>
      <c r="J423" s="3" t="s">
        <v>51</v>
      </c>
      <c r="K423" s="3" t="s">
        <v>34</v>
      </c>
      <c r="L423" s="3" t="s">
        <v>28</v>
      </c>
      <c r="M423" s="3">
        <v>784.42</v>
      </c>
      <c r="N423" s="3">
        <v>1</v>
      </c>
      <c r="O423" s="3">
        <v>5</v>
      </c>
      <c r="P423" s="3" t="s">
        <v>24</v>
      </c>
      <c r="Q423" s="3">
        <v>2</v>
      </c>
      <c r="R423" s="3">
        <v>7</v>
      </c>
      <c r="S423" s="3">
        <v>745.19899999999996</v>
      </c>
    </row>
    <row r="424" spans="1:19" x14ac:dyDescent="0.35">
      <c r="A424" s="3" t="s">
        <v>563</v>
      </c>
      <c r="B424" s="3">
        <v>1422</v>
      </c>
      <c r="C424">
        <v>20</v>
      </c>
      <c r="D424">
        <v>12</v>
      </c>
      <c r="E424">
        <v>2024</v>
      </c>
      <c r="F424" s="4">
        <f t="shared" si="6"/>
        <v>45646</v>
      </c>
      <c r="G424" s="3" t="s">
        <v>118</v>
      </c>
      <c r="H424" s="3">
        <v>47</v>
      </c>
      <c r="I424" s="3" t="s">
        <v>20</v>
      </c>
      <c r="J424" s="3" t="s">
        <v>46</v>
      </c>
      <c r="K424" s="3" t="s">
        <v>41</v>
      </c>
      <c r="L424" s="3" t="s">
        <v>55</v>
      </c>
      <c r="M424" s="3">
        <v>165.05</v>
      </c>
      <c r="N424" s="3">
        <v>4</v>
      </c>
      <c r="O424" s="3">
        <v>5</v>
      </c>
      <c r="P424" s="3" t="s">
        <v>654</v>
      </c>
      <c r="Q424" s="3">
        <v>4</v>
      </c>
      <c r="R424" s="3">
        <v>7</v>
      </c>
      <c r="S424" s="3">
        <v>627.19000000000005</v>
      </c>
    </row>
    <row r="425" spans="1:19" x14ac:dyDescent="0.35">
      <c r="A425" s="3" t="s">
        <v>564</v>
      </c>
      <c r="B425" s="3">
        <v>1423</v>
      </c>
      <c r="C425">
        <v>6</v>
      </c>
      <c r="D425">
        <v>11</v>
      </c>
      <c r="E425">
        <v>2024</v>
      </c>
      <c r="F425" s="4">
        <f t="shared" si="6"/>
        <v>45602</v>
      </c>
      <c r="G425" s="3" t="s">
        <v>83</v>
      </c>
      <c r="H425" s="3">
        <v>55</v>
      </c>
      <c r="I425" s="3" t="s">
        <v>32</v>
      </c>
      <c r="J425" s="3" t="s">
        <v>27</v>
      </c>
      <c r="K425" s="3" t="s">
        <v>41</v>
      </c>
      <c r="L425" s="3" t="s">
        <v>55</v>
      </c>
      <c r="M425" s="3">
        <v>1068.6199999999999</v>
      </c>
      <c r="N425" s="3">
        <v>3</v>
      </c>
      <c r="O425" s="3">
        <v>0</v>
      </c>
      <c r="P425" s="3" t="s">
        <v>653</v>
      </c>
      <c r="Q425" s="3">
        <v>1</v>
      </c>
      <c r="R425" s="3">
        <v>9</v>
      </c>
      <c r="S425" s="3">
        <v>3205.86</v>
      </c>
    </row>
    <row r="426" spans="1:19" x14ac:dyDescent="0.35">
      <c r="A426" s="3" t="s">
        <v>565</v>
      </c>
      <c r="B426" s="3">
        <v>1424</v>
      </c>
      <c r="C426">
        <v>3</v>
      </c>
      <c r="D426">
        <v>11</v>
      </c>
      <c r="E426">
        <v>2024</v>
      </c>
      <c r="F426" s="4">
        <f t="shared" si="6"/>
        <v>45599</v>
      </c>
      <c r="G426" s="3" t="s">
        <v>352</v>
      </c>
      <c r="H426" s="3">
        <v>19</v>
      </c>
      <c r="I426" s="3" t="s">
        <v>20</v>
      </c>
      <c r="J426" s="3" t="s">
        <v>46</v>
      </c>
      <c r="K426" s="3" t="s">
        <v>47</v>
      </c>
      <c r="L426" s="3" t="s">
        <v>48</v>
      </c>
      <c r="M426" s="3">
        <v>613.64</v>
      </c>
      <c r="N426" s="3">
        <v>3</v>
      </c>
      <c r="O426" s="3">
        <v>20</v>
      </c>
      <c r="P426" s="3" t="s">
        <v>653</v>
      </c>
      <c r="Q426" s="3">
        <v>1</v>
      </c>
      <c r="R426" s="3">
        <v>4</v>
      </c>
      <c r="S426" s="3">
        <v>1472.7360000000001</v>
      </c>
    </row>
    <row r="427" spans="1:19" x14ac:dyDescent="0.35">
      <c r="A427" s="3" t="s">
        <v>566</v>
      </c>
      <c r="B427" s="3">
        <v>1425</v>
      </c>
      <c r="C427">
        <v>23</v>
      </c>
      <c r="D427">
        <v>5</v>
      </c>
      <c r="E427">
        <v>2024</v>
      </c>
      <c r="F427" s="4">
        <f t="shared" si="6"/>
        <v>45435</v>
      </c>
      <c r="G427" s="3" t="s">
        <v>57</v>
      </c>
      <c r="H427" s="3">
        <v>32</v>
      </c>
      <c r="I427" s="3" t="s">
        <v>20</v>
      </c>
      <c r="J427" s="3" t="s">
        <v>33</v>
      </c>
      <c r="K427" s="3" t="s">
        <v>41</v>
      </c>
      <c r="L427" s="3" t="s">
        <v>125</v>
      </c>
      <c r="M427" s="3">
        <v>550.23</v>
      </c>
      <c r="N427" s="3">
        <v>3</v>
      </c>
      <c r="O427" s="3">
        <v>5</v>
      </c>
      <c r="P427" s="3" t="s">
        <v>24</v>
      </c>
      <c r="Q427" s="3"/>
      <c r="R427" s="3">
        <v>6</v>
      </c>
      <c r="S427" s="3">
        <v>1568.1555000000001</v>
      </c>
    </row>
    <row r="428" spans="1:19" x14ac:dyDescent="0.35">
      <c r="A428" s="3" t="s">
        <v>567</v>
      </c>
      <c r="B428" s="3">
        <v>1426</v>
      </c>
      <c r="C428">
        <v>25</v>
      </c>
      <c r="D428">
        <v>9</v>
      </c>
      <c r="E428">
        <v>2024</v>
      </c>
      <c r="F428" s="4">
        <f t="shared" si="6"/>
        <v>45560</v>
      </c>
      <c r="G428" s="3" t="s">
        <v>287</v>
      </c>
      <c r="H428" s="3">
        <v>28</v>
      </c>
      <c r="I428" s="3" t="s">
        <v>20</v>
      </c>
      <c r="J428" s="3" t="s">
        <v>21</v>
      </c>
      <c r="K428" s="3" t="s">
        <v>38</v>
      </c>
      <c r="L428" s="3" t="s">
        <v>35</v>
      </c>
      <c r="M428" s="3">
        <v>711.32</v>
      </c>
      <c r="N428" s="3">
        <v>3</v>
      </c>
      <c r="O428" s="3">
        <v>5</v>
      </c>
      <c r="P428" s="3" t="s">
        <v>29</v>
      </c>
      <c r="Q428" s="3"/>
      <c r="R428" s="3">
        <v>2</v>
      </c>
      <c r="S428" s="3">
        <v>2027.2619999999999</v>
      </c>
    </row>
    <row r="429" spans="1:19" x14ac:dyDescent="0.35">
      <c r="A429" s="3" t="s">
        <v>568</v>
      </c>
      <c r="B429" s="3">
        <v>1427</v>
      </c>
      <c r="C429">
        <v>3</v>
      </c>
      <c r="D429">
        <v>5</v>
      </c>
      <c r="E429">
        <v>2024</v>
      </c>
      <c r="F429" s="4">
        <f t="shared" si="6"/>
        <v>45415</v>
      </c>
      <c r="G429" s="3" t="s">
        <v>287</v>
      </c>
      <c r="H429" s="3">
        <v>25</v>
      </c>
      <c r="I429" s="3" t="s">
        <v>32</v>
      </c>
      <c r="J429" s="3" t="s">
        <v>33</v>
      </c>
      <c r="K429" s="3" t="s">
        <v>38</v>
      </c>
      <c r="L429" s="3" t="s">
        <v>35</v>
      </c>
      <c r="M429" s="3">
        <v>757.24</v>
      </c>
      <c r="N429" s="3">
        <v>2</v>
      </c>
      <c r="O429" s="3">
        <v>10</v>
      </c>
      <c r="P429" s="3" t="s">
        <v>653</v>
      </c>
      <c r="Q429" s="3">
        <v>5</v>
      </c>
      <c r="R429" s="3">
        <v>4</v>
      </c>
      <c r="S429" s="3">
        <v>1363.0319999999999</v>
      </c>
    </row>
    <row r="430" spans="1:19" x14ac:dyDescent="0.35">
      <c r="A430" s="3" t="s">
        <v>569</v>
      </c>
      <c r="B430" s="3">
        <v>1428</v>
      </c>
      <c r="C430">
        <v>15</v>
      </c>
      <c r="D430">
        <v>4</v>
      </c>
      <c r="E430">
        <v>2024</v>
      </c>
      <c r="F430" s="4">
        <f t="shared" si="6"/>
        <v>45397</v>
      </c>
      <c r="G430" s="3" t="s">
        <v>447</v>
      </c>
      <c r="H430" s="3">
        <v>43</v>
      </c>
      <c r="I430" s="3" t="s">
        <v>32</v>
      </c>
      <c r="J430" s="3" t="s">
        <v>51</v>
      </c>
      <c r="K430" s="3" t="s">
        <v>22</v>
      </c>
      <c r="L430" s="3" t="s">
        <v>55</v>
      </c>
      <c r="M430" s="3">
        <v>104.7</v>
      </c>
      <c r="N430" s="3">
        <v>4</v>
      </c>
      <c r="O430" s="3">
        <v>20</v>
      </c>
      <c r="P430" s="3" t="s">
        <v>29</v>
      </c>
      <c r="Q430" s="3">
        <v>4</v>
      </c>
      <c r="R430" s="3">
        <v>2</v>
      </c>
      <c r="S430" s="3">
        <v>335.04</v>
      </c>
    </row>
    <row r="431" spans="1:19" x14ac:dyDescent="0.35">
      <c r="A431" s="3" t="s">
        <v>570</v>
      </c>
      <c r="B431" s="3">
        <v>1429</v>
      </c>
      <c r="C431">
        <v>6</v>
      </c>
      <c r="D431">
        <v>6</v>
      </c>
      <c r="E431">
        <v>2024</v>
      </c>
      <c r="F431" s="4">
        <f t="shared" si="6"/>
        <v>45449</v>
      </c>
      <c r="G431" s="3" t="s">
        <v>116</v>
      </c>
      <c r="H431" s="3">
        <v>22</v>
      </c>
      <c r="I431" s="3" t="s">
        <v>32</v>
      </c>
      <c r="J431" s="3" t="s">
        <v>46</v>
      </c>
      <c r="K431" s="3" t="s">
        <v>38</v>
      </c>
      <c r="L431" s="3" t="s">
        <v>79</v>
      </c>
      <c r="M431" s="3">
        <v>825.49</v>
      </c>
      <c r="N431" s="3">
        <v>1</v>
      </c>
      <c r="O431" s="3">
        <v>0</v>
      </c>
      <c r="P431" s="3" t="s">
        <v>653</v>
      </c>
      <c r="Q431" s="3">
        <v>3</v>
      </c>
      <c r="R431" s="3">
        <v>5</v>
      </c>
      <c r="S431" s="3">
        <v>825.49</v>
      </c>
    </row>
    <row r="432" spans="1:19" x14ac:dyDescent="0.35">
      <c r="A432" s="3" t="s">
        <v>571</v>
      </c>
      <c r="B432" s="3">
        <v>1430</v>
      </c>
      <c r="C432">
        <v>26</v>
      </c>
      <c r="D432">
        <v>5</v>
      </c>
      <c r="E432">
        <v>2024</v>
      </c>
      <c r="F432" s="4">
        <f t="shared" si="6"/>
        <v>45438</v>
      </c>
      <c r="G432" s="3" t="s">
        <v>128</v>
      </c>
      <c r="H432" s="3">
        <v>23</v>
      </c>
      <c r="I432" s="3" t="s">
        <v>32</v>
      </c>
      <c r="J432" s="3" t="s">
        <v>46</v>
      </c>
      <c r="K432" s="3" t="s">
        <v>41</v>
      </c>
      <c r="L432" s="3" t="s">
        <v>48</v>
      </c>
      <c r="M432" s="3">
        <v>305.48</v>
      </c>
      <c r="N432" s="3">
        <v>1</v>
      </c>
      <c r="O432" s="3">
        <v>5</v>
      </c>
      <c r="P432" s="3" t="s">
        <v>653</v>
      </c>
      <c r="Q432" s="3">
        <v>3</v>
      </c>
      <c r="R432" s="3">
        <v>7</v>
      </c>
      <c r="S432" s="3">
        <v>290.20600000000002</v>
      </c>
    </row>
    <row r="433" spans="1:19" x14ac:dyDescent="0.35">
      <c r="A433" s="3" t="s">
        <v>572</v>
      </c>
      <c r="B433" s="3">
        <v>1431</v>
      </c>
      <c r="C433">
        <v>24</v>
      </c>
      <c r="D433">
        <v>5</v>
      </c>
      <c r="E433">
        <v>2024</v>
      </c>
      <c r="F433" s="4">
        <f t="shared" si="6"/>
        <v>45436</v>
      </c>
      <c r="G433" s="3" t="s">
        <v>219</v>
      </c>
      <c r="H433" s="3">
        <v>43</v>
      </c>
      <c r="I433" s="3" t="s">
        <v>20</v>
      </c>
      <c r="J433" s="3" t="s">
        <v>46</v>
      </c>
      <c r="K433" s="3" t="s">
        <v>38</v>
      </c>
      <c r="L433" s="3" t="s">
        <v>55</v>
      </c>
      <c r="M433" s="3">
        <v>862.46</v>
      </c>
      <c r="N433" s="3">
        <v>2</v>
      </c>
      <c r="O433" s="3">
        <v>20</v>
      </c>
      <c r="P433" s="3" t="s">
        <v>29</v>
      </c>
      <c r="Q433" s="3">
        <v>4</v>
      </c>
      <c r="R433" s="3">
        <v>1</v>
      </c>
      <c r="S433" s="3">
        <v>1379.9359999999999</v>
      </c>
    </row>
    <row r="434" spans="1:19" x14ac:dyDescent="0.35">
      <c r="A434" s="3" t="s">
        <v>573</v>
      </c>
      <c r="B434" s="3">
        <v>1432</v>
      </c>
      <c r="C434">
        <v>29</v>
      </c>
      <c r="D434">
        <v>4</v>
      </c>
      <c r="E434">
        <v>2024</v>
      </c>
      <c r="F434" s="4">
        <f t="shared" si="6"/>
        <v>45411</v>
      </c>
      <c r="G434" s="3" t="s">
        <v>116</v>
      </c>
      <c r="H434" s="3">
        <v>21</v>
      </c>
      <c r="I434" s="3" t="s">
        <v>32</v>
      </c>
      <c r="J434" s="3" t="s">
        <v>33</v>
      </c>
      <c r="K434" s="3" t="s">
        <v>47</v>
      </c>
      <c r="L434" s="3" t="s">
        <v>64</v>
      </c>
      <c r="M434" s="3">
        <v>990.59</v>
      </c>
      <c r="N434" s="3">
        <v>4</v>
      </c>
      <c r="O434" s="3">
        <v>20</v>
      </c>
      <c r="P434" s="3" t="s">
        <v>654</v>
      </c>
      <c r="Q434" s="3">
        <v>3</v>
      </c>
      <c r="R434" s="3">
        <v>7</v>
      </c>
      <c r="S434" s="3">
        <v>3169.8879999999999</v>
      </c>
    </row>
    <row r="435" spans="1:19" x14ac:dyDescent="0.35">
      <c r="A435" s="3" t="s">
        <v>574</v>
      </c>
      <c r="B435" s="3">
        <v>1433</v>
      </c>
      <c r="C435">
        <v>14</v>
      </c>
      <c r="D435">
        <v>11</v>
      </c>
      <c r="E435">
        <v>2024</v>
      </c>
      <c r="F435" s="4">
        <f t="shared" si="6"/>
        <v>45610</v>
      </c>
      <c r="G435" s="3" t="s">
        <v>162</v>
      </c>
      <c r="H435" s="3">
        <v>36</v>
      </c>
      <c r="I435" s="3" t="s">
        <v>32</v>
      </c>
      <c r="J435" s="3" t="s">
        <v>51</v>
      </c>
      <c r="K435" s="3" t="s">
        <v>22</v>
      </c>
      <c r="L435" s="3" t="s">
        <v>28</v>
      </c>
      <c r="M435" s="3">
        <v>968.67</v>
      </c>
      <c r="N435" s="3">
        <v>3</v>
      </c>
      <c r="O435" s="3">
        <v>0</v>
      </c>
      <c r="P435" s="3" t="s">
        <v>653</v>
      </c>
      <c r="Q435" s="3">
        <v>1</v>
      </c>
      <c r="R435" s="3">
        <v>6</v>
      </c>
      <c r="S435" s="3">
        <v>2906.01</v>
      </c>
    </row>
    <row r="436" spans="1:19" x14ac:dyDescent="0.35">
      <c r="A436" s="3" t="s">
        <v>575</v>
      </c>
      <c r="B436" s="3">
        <v>1434</v>
      </c>
      <c r="C436">
        <v>1</v>
      </c>
      <c r="D436">
        <v>10</v>
      </c>
      <c r="E436">
        <v>2024</v>
      </c>
      <c r="F436" s="4">
        <f t="shared" si="6"/>
        <v>45566</v>
      </c>
      <c r="G436" s="3" t="s">
        <v>354</v>
      </c>
      <c r="H436" s="3">
        <v>37</v>
      </c>
      <c r="I436" s="3" t="s">
        <v>20</v>
      </c>
      <c r="J436" s="3" t="s">
        <v>21</v>
      </c>
      <c r="K436" s="3" t="s">
        <v>41</v>
      </c>
      <c r="L436" s="3" t="s">
        <v>125</v>
      </c>
      <c r="M436" s="3">
        <v>671.95</v>
      </c>
      <c r="N436" s="3">
        <v>2</v>
      </c>
      <c r="O436" s="3">
        <v>20</v>
      </c>
      <c r="P436" s="3" t="s">
        <v>653</v>
      </c>
      <c r="Q436" s="3">
        <v>3</v>
      </c>
      <c r="R436" s="3">
        <v>6</v>
      </c>
      <c r="S436" s="3">
        <v>1075.1199999999999</v>
      </c>
    </row>
    <row r="437" spans="1:19" x14ac:dyDescent="0.35">
      <c r="A437" s="3" t="s">
        <v>576</v>
      </c>
      <c r="B437" s="3">
        <v>1435</v>
      </c>
      <c r="C437">
        <v>1</v>
      </c>
      <c r="D437">
        <v>4</v>
      </c>
      <c r="E437">
        <v>2024</v>
      </c>
      <c r="F437" s="4">
        <f t="shared" si="6"/>
        <v>45383</v>
      </c>
      <c r="G437" s="3" t="s">
        <v>26</v>
      </c>
      <c r="H437" s="3">
        <v>50</v>
      </c>
      <c r="I437" s="3" t="s">
        <v>32</v>
      </c>
      <c r="J437" s="3" t="s">
        <v>21</v>
      </c>
      <c r="K437" s="3" t="s">
        <v>22</v>
      </c>
      <c r="L437" s="3" t="s">
        <v>23</v>
      </c>
      <c r="M437" s="3">
        <v>633.79999999999995</v>
      </c>
      <c r="N437" s="3">
        <v>4</v>
      </c>
      <c r="O437" s="3">
        <v>20</v>
      </c>
      <c r="P437" s="3" t="s">
        <v>29</v>
      </c>
      <c r="Q437" s="3">
        <v>3</v>
      </c>
      <c r="R437" s="3">
        <v>8</v>
      </c>
      <c r="S437" s="3">
        <v>2028.16</v>
      </c>
    </row>
    <row r="438" spans="1:19" x14ac:dyDescent="0.35">
      <c r="A438" s="3" t="s">
        <v>577</v>
      </c>
      <c r="B438" s="3">
        <v>1436</v>
      </c>
      <c r="C438">
        <v>27</v>
      </c>
      <c r="D438">
        <v>2</v>
      </c>
      <c r="E438">
        <v>2024</v>
      </c>
      <c r="F438" s="4">
        <f t="shared" si="6"/>
        <v>45349</v>
      </c>
      <c r="G438" s="3" t="s">
        <v>164</v>
      </c>
      <c r="H438" s="3">
        <v>37</v>
      </c>
      <c r="I438" s="3" t="s">
        <v>20</v>
      </c>
      <c r="J438" s="3" t="s">
        <v>33</v>
      </c>
      <c r="K438" s="3" t="s">
        <v>41</v>
      </c>
      <c r="L438" s="3" t="s">
        <v>64</v>
      </c>
      <c r="M438" s="3">
        <v>188.59</v>
      </c>
      <c r="N438" s="3">
        <v>3</v>
      </c>
      <c r="O438" s="3">
        <v>20</v>
      </c>
      <c r="P438" s="3" t="s">
        <v>654</v>
      </c>
      <c r="Q438" s="3">
        <v>4</v>
      </c>
      <c r="R438" s="3">
        <v>8</v>
      </c>
      <c r="S438" s="3">
        <v>452.61599999999999</v>
      </c>
    </row>
    <row r="439" spans="1:19" x14ac:dyDescent="0.35">
      <c r="A439" s="3" t="s">
        <v>578</v>
      </c>
      <c r="B439" s="3">
        <v>1437</v>
      </c>
      <c r="C439">
        <v>11</v>
      </c>
      <c r="D439">
        <v>12</v>
      </c>
      <c r="E439">
        <v>2024</v>
      </c>
      <c r="F439" s="4">
        <f t="shared" si="6"/>
        <v>45637</v>
      </c>
      <c r="G439" s="3" t="s">
        <v>111</v>
      </c>
      <c r="H439" s="3">
        <v>29</v>
      </c>
      <c r="I439" s="3" t="s">
        <v>20</v>
      </c>
      <c r="J439" s="3" t="s">
        <v>46</v>
      </c>
      <c r="K439" s="3" t="s">
        <v>47</v>
      </c>
      <c r="L439" s="3" t="s">
        <v>79</v>
      </c>
      <c r="M439" s="3">
        <v>934.91</v>
      </c>
      <c r="N439" s="3">
        <v>2</v>
      </c>
      <c r="O439" s="3">
        <v>5</v>
      </c>
      <c r="P439" s="3" t="s">
        <v>653</v>
      </c>
      <c r="Q439" s="3">
        <v>4</v>
      </c>
      <c r="R439" s="3">
        <v>6</v>
      </c>
      <c r="S439" s="3">
        <v>1776.329</v>
      </c>
    </row>
    <row r="440" spans="1:19" x14ac:dyDescent="0.35">
      <c r="A440" s="3" t="s">
        <v>579</v>
      </c>
      <c r="B440" s="3">
        <v>1438</v>
      </c>
      <c r="C440">
        <v>16</v>
      </c>
      <c r="D440">
        <v>8</v>
      </c>
      <c r="E440">
        <v>2024</v>
      </c>
      <c r="F440" s="4">
        <f t="shared" si="6"/>
        <v>45520</v>
      </c>
      <c r="G440" s="3" t="s">
        <v>264</v>
      </c>
      <c r="H440" s="3">
        <v>18</v>
      </c>
      <c r="I440" s="3" t="s">
        <v>20</v>
      </c>
      <c r="J440" s="3" t="s">
        <v>27</v>
      </c>
      <c r="K440" s="3" t="s">
        <v>22</v>
      </c>
      <c r="L440" s="3" t="s">
        <v>96</v>
      </c>
      <c r="M440" s="3">
        <v>340.26</v>
      </c>
      <c r="N440" s="3">
        <v>4</v>
      </c>
      <c r="O440" s="3">
        <v>0</v>
      </c>
      <c r="P440" s="3" t="s">
        <v>653</v>
      </c>
      <c r="Q440" s="3">
        <v>3</v>
      </c>
      <c r="R440" s="3">
        <v>3</v>
      </c>
      <c r="S440" s="3">
        <v>1361.04</v>
      </c>
    </row>
    <row r="441" spans="1:19" x14ac:dyDescent="0.35">
      <c r="A441" s="3" t="s">
        <v>580</v>
      </c>
      <c r="B441" s="3">
        <v>1439</v>
      </c>
      <c r="C441">
        <v>26</v>
      </c>
      <c r="D441">
        <v>4</v>
      </c>
      <c r="E441">
        <v>2024</v>
      </c>
      <c r="F441" s="4">
        <f t="shared" si="6"/>
        <v>45408</v>
      </c>
      <c r="G441" s="3" t="s">
        <v>148</v>
      </c>
      <c r="H441" s="3">
        <v>43</v>
      </c>
      <c r="I441" s="3" t="s">
        <v>20</v>
      </c>
      <c r="J441" s="3" t="s">
        <v>33</v>
      </c>
      <c r="K441" s="3" t="s">
        <v>34</v>
      </c>
      <c r="L441" s="3" t="s">
        <v>96</v>
      </c>
      <c r="M441" s="3">
        <v>606.1</v>
      </c>
      <c r="N441" s="3">
        <v>1</v>
      </c>
      <c r="O441" s="3">
        <v>20</v>
      </c>
      <c r="P441" s="3" t="s">
        <v>654</v>
      </c>
      <c r="Q441" s="3">
        <v>2</v>
      </c>
      <c r="R441" s="3">
        <v>5</v>
      </c>
      <c r="S441" s="3">
        <v>484.88</v>
      </c>
    </row>
    <row r="442" spans="1:19" x14ac:dyDescent="0.35">
      <c r="A442" s="3" t="s">
        <v>581</v>
      </c>
      <c r="B442" s="3">
        <v>1440</v>
      </c>
      <c r="C442">
        <v>13</v>
      </c>
      <c r="D442">
        <v>11</v>
      </c>
      <c r="E442">
        <v>2024</v>
      </c>
      <c r="F442" s="4">
        <f t="shared" si="6"/>
        <v>45609</v>
      </c>
      <c r="G442" s="3" t="s">
        <v>270</v>
      </c>
      <c r="H442" s="3">
        <v>31</v>
      </c>
      <c r="I442" s="3" t="s">
        <v>20</v>
      </c>
      <c r="J442" s="3" t="s">
        <v>33</v>
      </c>
      <c r="K442" s="3" t="s">
        <v>41</v>
      </c>
      <c r="L442" s="3" t="s">
        <v>64</v>
      </c>
      <c r="M442" s="3">
        <v>355.44</v>
      </c>
      <c r="N442" s="3">
        <v>1</v>
      </c>
      <c r="O442" s="3">
        <v>20</v>
      </c>
      <c r="P442" s="3" t="s">
        <v>653</v>
      </c>
      <c r="Q442" s="3">
        <v>4</v>
      </c>
      <c r="R442" s="3">
        <v>2</v>
      </c>
      <c r="S442" s="3">
        <v>284.35199999999998</v>
      </c>
    </row>
    <row r="443" spans="1:19" x14ac:dyDescent="0.35">
      <c r="A443" s="3" t="s">
        <v>582</v>
      </c>
      <c r="B443" s="3">
        <v>1441</v>
      </c>
      <c r="C443">
        <v>5</v>
      </c>
      <c r="D443">
        <v>10</v>
      </c>
      <c r="E443">
        <v>2024</v>
      </c>
      <c r="F443" s="4">
        <f t="shared" si="6"/>
        <v>45570</v>
      </c>
      <c r="G443" s="3" t="s">
        <v>403</v>
      </c>
      <c r="H443" s="3">
        <v>55</v>
      </c>
      <c r="I443" s="3" t="s">
        <v>20</v>
      </c>
      <c r="J443" s="3" t="s">
        <v>51</v>
      </c>
      <c r="K443" s="3" t="s">
        <v>34</v>
      </c>
      <c r="L443" s="3" t="s">
        <v>55</v>
      </c>
      <c r="M443" s="3">
        <v>177.92</v>
      </c>
      <c r="N443" s="3">
        <v>4</v>
      </c>
      <c r="O443" s="3">
        <v>5</v>
      </c>
      <c r="P443" s="3" t="s">
        <v>654</v>
      </c>
      <c r="Q443" s="3">
        <v>5</v>
      </c>
      <c r="R443" s="3">
        <v>5</v>
      </c>
      <c r="S443" s="3">
        <v>676.096</v>
      </c>
    </row>
    <row r="444" spans="1:19" x14ac:dyDescent="0.35">
      <c r="A444" s="3" t="s">
        <v>583</v>
      </c>
      <c r="B444" s="3">
        <v>1442</v>
      </c>
      <c r="C444">
        <v>6</v>
      </c>
      <c r="D444">
        <v>5</v>
      </c>
      <c r="E444">
        <v>2024</v>
      </c>
      <c r="F444" s="4">
        <f t="shared" si="6"/>
        <v>45418</v>
      </c>
      <c r="G444" s="3" t="s">
        <v>148</v>
      </c>
      <c r="H444" s="3">
        <v>54</v>
      </c>
      <c r="I444" s="3" t="s">
        <v>20</v>
      </c>
      <c r="J444" s="3" t="s">
        <v>21</v>
      </c>
      <c r="K444" s="3" t="s">
        <v>22</v>
      </c>
      <c r="L444" s="3" t="s">
        <v>23</v>
      </c>
      <c r="M444" s="3">
        <v>762.88</v>
      </c>
      <c r="N444" s="3">
        <v>1</v>
      </c>
      <c r="O444" s="3">
        <v>0</v>
      </c>
      <c r="P444" s="3" t="s">
        <v>654</v>
      </c>
      <c r="Q444" s="3">
        <v>5</v>
      </c>
      <c r="R444" s="3">
        <v>9</v>
      </c>
      <c r="S444" s="3">
        <v>762.88</v>
      </c>
    </row>
    <row r="445" spans="1:19" x14ac:dyDescent="0.35">
      <c r="A445" s="3" t="s">
        <v>584</v>
      </c>
      <c r="B445" s="3">
        <v>1443</v>
      </c>
      <c r="C445">
        <v>8</v>
      </c>
      <c r="D445">
        <v>5</v>
      </c>
      <c r="E445">
        <v>2024</v>
      </c>
      <c r="F445" s="4">
        <f t="shared" si="6"/>
        <v>45420</v>
      </c>
      <c r="G445" s="3" t="s">
        <v>310</v>
      </c>
      <c r="H445" s="3">
        <v>28</v>
      </c>
      <c r="I445" s="3" t="s">
        <v>20</v>
      </c>
      <c r="J445" s="3" t="s">
        <v>33</v>
      </c>
      <c r="K445" s="3" t="s">
        <v>34</v>
      </c>
      <c r="L445" s="3" t="s">
        <v>42</v>
      </c>
      <c r="M445" s="3">
        <v>84.11</v>
      </c>
      <c r="N445" s="3">
        <v>4</v>
      </c>
      <c r="O445" s="3">
        <v>10</v>
      </c>
      <c r="P445" s="3" t="s">
        <v>29</v>
      </c>
      <c r="Q445" s="3">
        <v>1</v>
      </c>
      <c r="R445" s="3">
        <v>1</v>
      </c>
      <c r="S445" s="3">
        <v>302.79599999999999</v>
      </c>
    </row>
    <row r="446" spans="1:19" x14ac:dyDescent="0.35">
      <c r="A446" s="3" t="s">
        <v>585</v>
      </c>
      <c r="B446" s="3">
        <v>1444</v>
      </c>
      <c r="C446">
        <v>27</v>
      </c>
      <c r="D446">
        <v>2</v>
      </c>
      <c r="E446">
        <v>2024</v>
      </c>
      <c r="F446" s="4">
        <f t="shared" si="6"/>
        <v>45349</v>
      </c>
      <c r="G446" s="3" t="s">
        <v>178</v>
      </c>
      <c r="H446" s="3">
        <v>53</v>
      </c>
      <c r="I446" s="3" t="s">
        <v>32</v>
      </c>
      <c r="J446" s="3" t="s">
        <v>33</v>
      </c>
      <c r="K446" s="3" t="s">
        <v>34</v>
      </c>
      <c r="L446" s="3" t="s">
        <v>42</v>
      </c>
      <c r="M446" s="3">
        <v>903.4</v>
      </c>
      <c r="N446" s="3">
        <v>3</v>
      </c>
      <c r="O446" s="3">
        <v>5</v>
      </c>
      <c r="P446" s="3" t="s">
        <v>24</v>
      </c>
      <c r="Q446" s="3">
        <v>3</v>
      </c>
      <c r="R446" s="3">
        <v>5</v>
      </c>
      <c r="S446" s="3">
        <v>2574.69</v>
      </c>
    </row>
    <row r="447" spans="1:19" x14ac:dyDescent="0.35">
      <c r="A447" s="3" t="s">
        <v>586</v>
      </c>
      <c r="B447" s="3">
        <v>1445</v>
      </c>
      <c r="C447">
        <v>1</v>
      </c>
      <c r="D447">
        <v>5</v>
      </c>
      <c r="E447">
        <v>2024</v>
      </c>
      <c r="F447" s="4">
        <f t="shared" si="6"/>
        <v>45413</v>
      </c>
      <c r="G447" s="3" t="s">
        <v>154</v>
      </c>
      <c r="H447" s="3">
        <v>30</v>
      </c>
      <c r="I447" s="3" t="s">
        <v>32</v>
      </c>
      <c r="J447" s="3" t="s">
        <v>46</v>
      </c>
      <c r="K447" s="3" t="s">
        <v>22</v>
      </c>
      <c r="L447" s="3" t="s">
        <v>79</v>
      </c>
      <c r="M447" s="3">
        <v>394.75</v>
      </c>
      <c r="N447" s="3">
        <v>4</v>
      </c>
      <c r="O447" s="3">
        <v>0</v>
      </c>
      <c r="P447" s="3" t="s">
        <v>654</v>
      </c>
      <c r="Q447" s="3">
        <v>2</v>
      </c>
      <c r="R447" s="3">
        <v>6</v>
      </c>
      <c r="S447" s="3">
        <v>1579</v>
      </c>
    </row>
    <row r="448" spans="1:19" x14ac:dyDescent="0.35">
      <c r="A448" s="3" t="s">
        <v>587</v>
      </c>
      <c r="B448" s="3">
        <v>1446</v>
      </c>
      <c r="C448">
        <v>1</v>
      </c>
      <c r="D448">
        <v>1</v>
      </c>
      <c r="E448">
        <v>2024</v>
      </c>
      <c r="F448" s="4">
        <f t="shared" si="6"/>
        <v>45292</v>
      </c>
      <c r="G448" s="3" t="s">
        <v>98</v>
      </c>
      <c r="H448" s="3">
        <v>20</v>
      </c>
      <c r="I448" s="3" t="s">
        <v>32</v>
      </c>
      <c r="J448" s="3" t="s">
        <v>46</v>
      </c>
      <c r="K448" s="3" t="s">
        <v>47</v>
      </c>
      <c r="L448" s="3" t="s">
        <v>55</v>
      </c>
      <c r="M448" s="3">
        <v>20.16</v>
      </c>
      <c r="N448" s="3">
        <v>3</v>
      </c>
      <c r="O448" s="3">
        <v>20</v>
      </c>
      <c r="P448" s="3" t="s">
        <v>29</v>
      </c>
      <c r="Q448" s="3">
        <v>1</v>
      </c>
      <c r="R448" s="3">
        <v>7</v>
      </c>
      <c r="S448" s="3">
        <v>48.384</v>
      </c>
    </row>
    <row r="449" spans="1:19" x14ac:dyDescent="0.35">
      <c r="A449" s="3" t="s">
        <v>588</v>
      </c>
      <c r="B449" s="3">
        <v>1447</v>
      </c>
      <c r="C449">
        <v>26</v>
      </c>
      <c r="D449">
        <v>8</v>
      </c>
      <c r="E449">
        <v>2024</v>
      </c>
      <c r="F449" s="4">
        <f t="shared" si="6"/>
        <v>45530</v>
      </c>
      <c r="G449" s="3" t="s">
        <v>132</v>
      </c>
      <c r="H449" s="3">
        <v>50</v>
      </c>
      <c r="I449" s="3" t="s">
        <v>32</v>
      </c>
      <c r="J449" s="3" t="s">
        <v>27</v>
      </c>
      <c r="K449" s="3" t="s">
        <v>34</v>
      </c>
      <c r="L449" s="3" t="s">
        <v>35</v>
      </c>
      <c r="M449" s="3">
        <v>623.13</v>
      </c>
      <c r="N449" s="3">
        <v>2</v>
      </c>
      <c r="O449" s="3">
        <v>0</v>
      </c>
      <c r="P449" s="3" t="s">
        <v>24</v>
      </c>
      <c r="Q449" s="3">
        <v>3</v>
      </c>
      <c r="R449" s="3">
        <v>9</v>
      </c>
      <c r="S449" s="3">
        <v>1246.26</v>
      </c>
    </row>
    <row r="450" spans="1:19" x14ac:dyDescent="0.35">
      <c r="A450" s="3" t="s">
        <v>589</v>
      </c>
      <c r="B450" s="3">
        <v>1448</v>
      </c>
      <c r="C450">
        <v>16</v>
      </c>
      <c r="D450">
        <v>10</v>
      </c>
      <c r="E450">
        <v>2024</v>
      </c>
      <c r="F450" s="4">
        <f t="shared" si="6"/>
        <v>45581</v>
      </c>
      <c r="G450" s="3" t="s">
        <v>310</v>
      </c>
      <c r="H450" s="3">
        <v>23</v>
      </c>
      <c r="I450" s="3" t="s">
        <v>20</v>
      </c>
      <c r="J450" s="3" t="s">
        <v>51</v>
      </c>
      <c r="K450" s="3" t="s">
        <v>34</v>
      </c>
      <c r="L450" s="3" t="s">
        <v>35</v>
      </c>
      <c r="M450" s="3">
        <v>75.290000000000006</v>
      </c>
      <c r="N450" s="3">
        <v>4</v>
      </c>
      <c r="O450" s="3">
        <v>0</v>
      </c>
      <c r="P450" s="3" t="s">
        <v>653</v>
      </c>
      <c r="Q450" s="3">
        <v>4</v>
      </c>
      <c r="R450" s="3">
        <v>6</v>
      </c>
      <c r="S450" s="3">
        <v>301.16000000000003</v>
      </c>
    </row>
    <row r="451" spans="1:19" x14ac:dyDescent="0.35">
      <c r="A451" s="3" t="s">
        <v>590</v>
      </c>
      <c r="B451" s="3">
        <v>1449</v>
      </c>
      <c r="C451">
        <v>5</v>
      </c>
      <c r="D451">
        <v>4</v>
      </c>
      <c r="E451">
        <v>2024</v>
      </c>
      <c r="F451" s="4">
        <f t="shared" ref="F451:F501" si="7">DATE(E451,D451,C451)</f>
        <v>45387</v>
      </c>
      <c r="G451" s="3" t="s">
        <v>456</v>
      </c>
      <c r="H451" s="3">
        <v>27</v>
      </c>
      <c r="I451" s="3" t="s">
        <v>32</v>
      </c>
      <c r="J451" s="3" t="s">
        <v>27</v>
      </c>
      <c r="K451" s="3" t="s">
        <v>47</v>
      </c>
      <c r="L451" s="3" t="s">
        <v>125</v>
      </c>
      <c r="M451" s="3">
        <v>345.88</v>
      </c>
      <c r="N451" s="3">
        <v>2</v>
      </c>
      <c r="O451" s="3">
        <v>0</v>
      </c>
      <c r="P451" s="3" t="s">
        <v>24</v>
      </c>
      <c r="Q451" s="3">
        <v>5</v>
      </c>
      <c r="R451" s="3">
        <v>5</v>
      </c>
      <c r="S451" s="3">
        <v>691.76</v>
      </c>
    </row>
    <row r="452" spans="1:19" x14ac:dyDescent="0.35">
      <c r="A452" s="3" t="s">
        <v>591</v>
      </c>
      <c r="B452" s="3">
        <v>1450</v>
      </c>
      <c r="C452">
        <v>5</v>
      </c>
      <c r="D452">
        <v>5</v>
      </c>
      <c r="E452">
        <v>2024</v>
      </c>
      <c r="F452" s="4">
        <f t="shared" si="7"/>
        <v>45417</v>
      </c>
      <c r="G452" s="3" t="s">
        <v>140</v>
      </c>
      <c r="H452" s="3"/>
      <c r="I452" s="3" t="s">
        <v>20</v>
      </c>
      <c r="J452" s="3" t="s">
        <v>655</v>
      </c>
      <c r="K452" s="3" t="s">
        <v>34</v>
      </c>
      <c r="L452" s="3" t="s">
        <v>23</v>
      </c>
      <c r="M452" s="3">
        <v>854.23</v>
      </c>
      <c r="N452" s="3">
        <v>1</v>
      </c>
      <c r="O452" s="3">
        <v>10</v>
      </c>
      <c r="P452" s="3" t="s">
        <v>654</v>
      </c>
      <c r="Q452" s="3"/>
      <c r="R452" s="3">
        <v>7</v>
      </c>
      <c r="S452" s="3">
        <v>768.80700000000002</v>
      </c>
    </row>
    <row r="453" spans="1:19" x14ac:dyDescent="0.35">
      <c r="A453" s="3" t="s">
        <v>592</v>
      </c>
      <c r="B453" s="3">
        <v>1451</v>
      </c>
      <c r="C453">
        <v>27</v>
      </c>
      <c r="D453">
        <v>4</v>
      </c>
      <c r="E453">
        <v>2024</v>
      </c>
      <c r="F453" s="4">
        <f t="shared" si="7"/>
        <v>45409</v>
      </c>
      <c r="G453" s="3" t="s">
        <v>270</v>
      </c>
      <c r="H453" s="3">
        <v>40</v>
      </c>
      <c r="I453" s="3" t="s">
        <v>32</v>
      </c>
      <c r="J453" s="3" t="s">
        <v>21</v>
      </c>
      <c r="K453" s="3" t="s">
        <v>34</v>
      </c>
      <c r="L453" s="3" t="s">
        <v>23</v>
      </c>
      <c r="M453" s="3">
        <v>93.97</v>
      </c>
      <c r="N453" s="3">
        <v>3</v>
      </c>
      <c r="O453" s="3">
        <v>0</v>
      </c>
      <c r="P453" s="3" t="s">
        <v>654</v>
      </c>
      <c r="Q453" s="3">
        <v>2</v>
      </c>
      <c r="R453" s="3">
        <v>1</v>
      </c>
      <c r="S453" s="3">
        <v>281.91000000000003</v>
      </c>
    </row>
    <row r="454" spans="1:19" x14ac:dyDescent="0.35">
      <c r="A454" s="3" t="s">
        <v>593</v>
      </c>
      <c r="B454" s="3">
        <v>1452</v>
      </c>
      <c r="C454">
        <v>17</v>
      </c>
      <c r="D454">
        <v>2</v>
      </c>
      <c r="E454">
        <v>2024</v>
      </c>
      <c r="F454" s="4">
        <f t="shared" si="7"/>
        <v>45339</v>
      </c>
      <c r="G454" s="3" t="s">
        <v>289</v>
      </c>
      <c r="H454" s="3">
        <v>27</v>
      </c>
      <c r="I454" s="3" t="s">
        <v>32</v>
      </c>
      <c r="J454" s="3" t="s">
        <v>46</v>
      </c>
      <c r="K454" s="3" t="s">
        <v>34</v>
      </c>
      <c r="L454" s="3" t="s">
        <v>96</v>
      </c>
      <c r="M454" s="3">
        <v>1010.42</v>
      </c>
      <c r="N454" s="3">
        <v>4</v>
      </c>
      <c r="O454" s="3">
        <v>10</v>
      </c>
      <c r="P454" s="3" t="s">
        <v>654</v>
      </c>
      <c r="Q454" s="3"/>
      <c r="R454" s="3">
        <v>5</v>
      </c>
      <c r="S454" s="3">
        <v>3637.5120000000002</v>
      </c>
    </row>
    <row r="455" spans="1:19" x14ac:dyDescent="0.35">
      <c r="A455" s="3" t="s">
        <v>594</v>
      </c>
      <c r="B455" s="3">
        <v>1453</v>
      </c>
      <c r="C455">
        <v>29</v>
      </c>
      <c r="D455">
        <v>3</v>
      </c>
      <c r="E455">
        <v>2024</v>
      </c>
      <c r="F455" s="4">
        <f t="shared" si="7"/>
        <v>45380</v>
      </c>
      <c r="G455" s="3" t="s">
        <v>167</v>
      </c>
      <c r="H455" s="3">
        <v>19</v>
      </c>
      <c r="I455" s="3" t="s">
        <v>32</v>
      </c>
      <c r="J455" s="3" t="s">
        <v>51</v>
      </c>
      <c r="K455" s="3" t="s">
        <v>38</v>
      </c>
      <c r="L455" s="3" t="s">
        <v>48</v>
      </c>
      <c r="M455" s="3">
        <v>24.51</v>
      </c>
      <c r="N455" s="3">
        <v>2</v>
      </c>
      <c r="O455" s="3">
        <v>20</v>
      </c>
      <c r="P455" s="3" t="s">
        <v>654</v>
      </c>
      <c r="Q455" s="3">
        <v>5</v>
      </c>
      <c r="R455" s="3">
        <v>2</v>
      </c>
      <c r="S455" s="3">
        <v>39.216000000000001</v>
      </c>
    </row>
    <row r="456" spans="1:19" x14ac:dyDescent="0.35">
      <c r="A456" s="3" t="s">
        <v>595</v>
      </c>
      <c r="B456" s="3">
        <v>1454</v>
      </c>
      <c r="C456">
        <v>24</v>
      </c>
      <c r="D456">
        <v>8</v>
      </c>
      <c r="E456">
        <v>2024</v>
      </c>
      <c r="F456" s="4">
        <f t="shared" si="7"/>
        <v>45528</v>
      </c>
      <c r="G456" s="3" t="s">
        <v>299</v>
      </c>
      <c r="H456" s="3">
        <v>30</v>
      </c>
      <c r="I456" s="3" t="s">
        <v>20</v>
      </c>
      <c r="J456" s="3" t="s">
        <v>46</v>
      </c>
      <c r="K456" s="3" t="s">
        <v>47</v>
      </c>
      <c r="L456" s="3" t="s">
        <v>79</v>
      </c>
      <c r="M456" s="3">
        <v>311.25</v>
      </c>
      <c r="N456" s="3">
        <v>3</v>
      </c>
      <c r="O456" s="3">
        <v>10</v>
      </c>
      <c r="P456" s="3" t="s">
        <v>654</v>
      </c>
      <c r="Q456" s="3"/>
      <c r="R456" s="3">
        <v>4</v>
      </c>
      <c r="S456" s="3">
        <v>840.375</v>
      </c>
    </row>
    <row r="457" spans="1:19" x14ac:dyDescent="0.35">
      <c r="A457" s="3" t="s">
        <v>596</v>
      </c>
      <c r="B457" s="3">
        <v>1455</v>
      </c>
      <c r="C457">
        <v>28</v>
      </c>
      <c r="D457">
        <v>9</v>
      </c>
      <c r="E457">
        <v>2024</v>
      </c>
      <c r="F457" s="4">
        <f t="shared" si="7"/>
        <v>45563</v>
      </c>
      <c r="G457" s="3" t="s">
        <v>74</v>
      </c>
      <c r="H457" s="3">
        <v>57</v>
      </c>
      <c r="I457" s="3" t="s">
        <v>32</v>
      </c>
      <c r="J457" s="3" t="s">
        <v>51</v>
      </c>
      <c r="K457" s="3" t="s">
        <v>34</v>
      </c>
      <c r="L457" s="3" t="s">
        <v>42</v>
      </c>
      <c r="M457" s="3">
        <v>894.27</v>
      </c>
      <c r="N457" s="3">
        <v>3</v>
      </c>
      <c r="O457" s="3">
        <v>20</v>
      </c>
      <c r="P457" s="3" t="s">
        <v>29</v>
      </c>
      <c r="Q457" s="3">
        <v>4</v>
      </c>
      <c r="R457" s="3">
        <v>7</v>
      </c>
      <c r="S457" s="3">
        <v>2146.248</v>
      </c>
    </row>
    <row r="458" spans="1:19" x14ac:dyDescent="0.35">
      <c r="A458" s="3" t="s">
        <v>597</v>
      </c>
      <c r="B458" s="3">
        <v>1456</v>
      </c>
      <c r="C458">
        <v>7</v>
      </c>
      <c r="D458">
        <v>7</v>
      </c>
      <c r="E458">
        <v>2024</v>
      </c>
      <c r="F458" s="4">
        <f t="shared" si="7"/>
        <v>45480</v>
      </c>
      <c r="G458" s="3" t="s">
        <v>270</v>
      </c>
      <c r="H458" s="3">
        <v>19</v>
      </c>
      <c r="I458" s="3" t="s">
        <v>20</v>
      </c>
      <c r="J458" s="3" t="s">
        <v>51</v>
      </c>
      <c r="K458" s="3" t="s">
        <v>47</v>
      </c>
      <c r="L458" s="3" t="s">
        <v>79</v>
      </c>
      <c r="M458" s="3">
        <v>393.2</v>
      </c>
      <c r="N458" s="3">
        <v>1</v>
      </c>
      <c r="O458" s="3">
        <v>20</v>
      </c>
      <c r="P458" s="3" t="s">
        <v>654</v>
      </c>
      <c r="Q458" s="3">
        <v>3</v>
      </c>
      <c r="R458" s="3">
        <v>5</v>
      </c>
      <c r="S458" s="3">
        <v>314.56</v>
      </c>
    </row>
    <row r="459" spans="1:19" x14ac:dyDescent="0.35">
      <c r="A459" s="3" t="s">
        <v>598</v>
      </c>
      <c r="B459" s="3">
        <v>1457</v>
      </c>
      <c r="C459">
        <v>10</v>
      </c>
      <c r="D459">
        <v>7</v>
      </c>
      <c r="E459">
        <v>2024</v>
      </c>
      <c r="F459" s="4">
        <f t="shared" si="7"/>
        <v>45483</v>
      </c>
      <c r="G459" s="3" t="s">
        <v>216</v>
      </c>
      <c r="H459" s="3">
        <v>37</v>
      </c>
      <c r="I459" s="3" t="s">
        <v>20</v>
      </c>
      <c r="J459" s="3" t="s">
        <v>51</v>
      </c>
      <c r="K459" s="3" t="s">
        <v>41</v>
      </c>
      <c r="L459" s="3" t="s">
        <v>35</v>
      </c>
      <c r="M459" s="3">
        <v>140.22999999999999</v>
      </c>
      <c r="N459" s="3">
        <v>1</v>
      </c>
      <c r="O459" s="3">
        <v>10</v>
      </c>
      <c r="P459" s="3" t="s">
        <v>29</v>
      </c>
      <c r="Q459" s="3">
        <v>4</v>
      </c>
      <c r="R459" s="3">
        <v>6</v>
      </c>
      <c r="S459" s="3">
        <v>126.20699999999999</v>
      </c>
    </row>
    <row r="460" spans="1:19" x14ac:dyDescent="0.35">
      <c r="A460" s="3" t="s">
        <v>599</v>
      </c>
      <c r="B460" s="3">
        <v>1458</v>
      </c>
      <c r="C460">
        <v>9</v>
      </c>
      <c r="D460">
        <v>3</v>
      </c>
      <c r="E460">
        <v>2024</v>
      </c>
      <c r="F460" s="4">
        <f t="shared" si="7"/>
        <v>45360</v>
      </c>
      <c r="G460" s="3" t="s">
        <v>26</v>
      </c>
      <c r="H460" s="3">
        <v>18</v>
      </c>
      <c r="I460" s="3" t="s">
        <v>32</v>
      </c>
      <c r="J460" s="3" t="s">
        <v>51</v>
      </c>
      <c r="K460" s="3" t="s">
        <v>41</v>
      </c>
      <c r="L460" s="3" t="s">
        <v>35</v>
      </c>
      <c r="M460" s="3">
        <v>445.08</v>
      </c>
      <c r="N460" s="3">
        <v>3</v>
      </c>
      <c r="O460" s="3">
        <v>5</v>
      </c>
      <c r="P460" s="3" t="s">
        <v>653</v>
      </c>
      <c r="Q460" s="3"/>
      <c r="R460" s="3">
        <v>2</v>
      </c>
      <c r="S460" s="3">
        <v>1268.4780000000001</v>
      </c>
    </row>
    <row r="461" spans="1:19" x14ac:dyDescent="0.35">
      <c r="A461" s="3" t="s">
        <v>600</v>
      </c>
      <c r="B461" s="3">
        <v>1459</v>
      </c>
      <c r="C461">
        <v>4</v>
      </c>
      <c r="D461">
        <v>10</v>
      </c>
      <c r="E461">
        <v>2024</v>
      </c>
      <c r="F461" s="4">
        <f t="shared" si="7"/>
        <v>45569</v>
      </c>
      <c r="G461" s="3" t="s">
        <v>178</v>
      </c>
      <c r="H461" s="3">
        <v>54</v>
      </c>
      <c r="I461" s="3" t="s">
        <v>32</v>
      </c>
      <c r="J461" s="3" t="s">
        <v>51</v>
      </c>
      <c r="K461" s="3" t="s">
        <v>34</v>
      </c>
      <c r="L461" s="3" t="s">
        <v>64</v>
      </c>
      <c r="M461" s="3">
        <v>339.06</v>
      </c>
      <c r="N461" s="3">
        <v>3</v>
      </c>
      <c r="O461" s="3">
        <v>15</v>
      </c>
      <c r="P461" s="3" t="s">
        <v>654</v>
      </c>
      <c r="Q461" s="3">
        <v>4</v>
      </c>
      <c r="R461" s="3">
        <v>3</v>
      </c>
      <c r="S461" s="3">
        <v>864.60299999999995</v>
      </c>
    </row>
    <row r="462" spans="1:19" x14ac:dyDescent="0.35">
      <c r="A462" s="3" t="s">
        <v>601</v>
      </c>
      <c r="B462" s="3">
        <v>1460</v>
      </c>
      <c r="C462">
        <v>14</v>
      </c>
      <c r="D462">
        <v>12</v>
      </c>
      <c r="E462">
        <v>2024</v>
      </c>
      <c r="F462" s="4">
        <f t="shared" si="7"/>
        <v>45640</v>
      </c>
      <c r="G462" s="3" t="s">
        <v>59</v>
      </c>
      <c r="H462" s="3">
        <v>26</v>
      </c>
      <c r="I462" s="3" t="s">
        <v>32</v>
      </c>
      <c r="J462" s="3" t="s">
        <v>21</v>
      </c>
      <c r="K462" s="3" t="s">
        <v>47</v>
      </c>
      <c r="L462" s="3" t="s">
        <v>125</v>
      </c>
      <c r="M462" s="3">
        <v>1014.4</v>
      </c>
      <c r="N462" s="3">
        <v>4</v>
      </c>
      <c r="O462" s="3">
        <v>0</v>
      </c>
      <c r="P462" s="3" t="s">
        <v>654</v>
      </c>
      <c r="Q462" s="3">
        <v>5</v>
      </c>
      <c r="R462" s="3">
        <v>7</v>
      </c>
      <c r="S462" s="3">
        <v>4057.6</v>
      </c>
    </row>
    <row r="463" spans="1:19" x14ac:dyDescent="0.35">
      <c r="A463" s="3" t="s">
        <v>602</v>
      </c>
      <c r="B463" s="3">
        <v>1461</v>
      </c>
      <c r="C463">
        <v>3</v>
      </c>
      <c r="D463">
        <v>9</v>
      </c>
      <c r="E463">
        <v>2024</v>
      </c>
      <c r="F463" s="4">
        <f t="shared" si="7"/>
        <v>45538</v>
      </c>
      <c r="G463" s="3" t="s">
        <v>57</v>
      </c>
      <c r="H463" s="3">
        <v>34</v>
      </c>
      <c r="I463" s="3" t="s">
        <v>20</v>
      </c>
      <c r="J463" s="3" t="s">
        <v>27</v>
      </c>
      <c r="K463" s="3" t="s">
        <v>47</v>
      </c>
      <c r="L463" s="3" t="s">
        <v>23</v>
      </c>
      <c r="M463" s="3">
        <v>389.75</v>
      </c>
      <c r="N463" s="3">
        <v>3</v>
      </c>
      <c r="O463" s="3">
        <v>15</v>
      </c>
      <c r="P463" s="3" t="s">
        <v>24</v>
      </c>
      <c r="Q463" s="3">
        <v>2</v>
      </c>
      <c r="R463" s="3">
        <v>2</v>
      </c>
      <c r="S463" s="3">
        <v>993.86249999999995</v>
      </c>
    </row>
    <row r="464" spans="1:19" x14ac:dyDescent="0.35">
      <c r="A464" s="3" t="s">
        <v>603</v>
      </c>
      <c r="B464" s="3">
        <v>1462</v>
      </c>
      <c r="C464">
        <v>16</v>
      </c>
      <c r="D464">
        <v>3</v>
      </c>
      <c r="E464">
        <v>2024</v>
      </c>
      <c r="F464" s="4">
        <f t="shared" si="7"/>
        <v>45367</v>
      </c>
      <c r="G464" s="3" t="s">
        <v>98</v>
      </c>
      <c r="H464" s="3">
        <v>26</v>
      </c>
      <c r="I464" s="3" t="s">
        <v>32</v>
      </c>
      <c r="J464" s="3" t="s">
        <v>33</v>
      </c>
      <c r="K464" s="3" t="s">
        <v>47</v>
      </c>
      <c r="L464" s="3" t="s">
        <v>28</v>
      </c>
      <c r="M464" s="3">
        <v>950.94</v>
      </c>
      <c r="N464" s="3">
        <v>4</v>
      </c>
      <c r="O464" s="3">
        <v>0</v>
      </c>
      <c r="P464" s="3" t="s">
        <v>653</v>
      </c>
      <c r="Q464" s="3">
        <v>4</v>
      </c>
      <c r="R464" s="3">
        <v>6</v>
      </c>
      <c r="S464" s="3">
        <v>3803.76</v>
      </c>
    </row>
    <row r="465" spans="1:19" x14ac:dyDescent="0.35">
      <c r="A465" s="3" t="s">
        <v>604</v>
      </c>
      <c r="B465" s="3">
        <v>1463</v>
      </c>
      <c r="C465">
        <v>2</v>
      </c>
      <c r="D465">
        <v>6</v>
      </c>
      <c r="E465">
        <v>2024</v>
      </c>
      <c r="F465" s="4">
        <f t="shared" si="7"/>
        <v>45445</v>
      </c>
      <c r="G465" s="3" t="s">
        <v>134</v>
      </c>
      <c r="H465" s="3">
        <v>28</v>
      </c>
      <c r="I465" s="3" t="s">
        <v>20</v>
      </c>
      <c r="J465" s="3" t="s">
        <v>27</v>
      </c>
      <c r="K465" s="3" t="s">
        <v>38</v>
      </c>
      <c r="L465" s="3" t="s">
        <v>79</v>
      </c>
      <c r="M465" s="3">
        <v>1072.4100000000001</v>
      </c>
      <c r="N465" s="3">
        <v>3</v>
      </c>
      <c r="O465" s="3">
        <v>0</v>
      </c>
      <c r="P465" s="3" t="s">
        <v>654</v>
      </c>
      <c r="Q465" s="3">
        <v>5</v>
      </c>
      <c r="R465" s="3">
        <v>5</v>
      </c>
      <c r="S465" s="3">
        <v>3217.23</v>
      </c>
    </row>
    <row r="466" spans="1:19" x14ac:dyDescent="0.35">
      <c r="A466" s="3" t="s">
        <v>605</v>
      </c>
      <c r="B466" s="3">
        <v>1464</v>
      </c>
      <c r="C466">
        <v>23</v>
      </c>
      <c r="D466">
        <v>5</v>
      </c>
      <c r="E466">
        <v>2024</v>
      </c>
      <c r="F466" s="4">
        <f t="shared" si="7"/>
        <v>45435</v>
      </c>
      <c r="G466" s="3" t="s">
        <v>107</v>
      </c>
      <c r="H466" s="3">
        <v>32</v>
      </c>
      <c r="I466" s="3" t="s">
        <v>20</v>
      </c>
      <c r="J466" s="3" t="s">
        <v>51</v>
      </c>
      <c r="K466" s="3" t="s">
        <v>41</v>
      </c>
      <c r="L466" s="3" t="s">
        <v>35</v>
      </c>
      <c r="M466" s="3">
        <v>531.9</v>
      </c>
      <c r="N466" s="3">
        <v>1</v>
      </c>
      <c r="O466" s="3">
        <v>20</v>
      </c>
      <c r="P466" s="3" t="s">
        <v>654</v>
      </c>
      <c r="Q466" s="3">
        <v>2</v>
      </c>
      <c r="R466" s="3">
        <v>1</v>
      </c>
      <c r="S466" s="3">
        <v>425.52</v>
      </c>
    </row>
    <row r="467" spans="1:19" x14ac:dyDescent="0.35">
      <c r="A467" s="3" t="s">
        <v>606</v>
      </c>
      <c r="B467" s="3">
        <v>1465</v>
      </c>
      <c r="C467">
        <v>26</v>
      </c>
      <c r="D467">
        <v>3</v>
      </c>
      <c r="E467">
        <v>2024</v>
      </c>
      <c r="F467" s="4">
        <f t="shared" si="7"/>
        <v>45377</v>
      </c>
      <c r="G467" s="3" t="s">
        <v>93</v>
      </c>
      <c r="H467" s="3">
        <v>41</v>
      </c>
      <c r="I467" s="3" t="s">
        <v>32</v>
      </c>
      <c r="J467" s="3" t="s">
        <v>21</v>
      </c>
      <c r="K467" s="3" t="s">
        <v>47</v>
      </c>
      <c r="L467" s="3" t="s">
        <v>48</v>
      </c>
      <c r="M467" s="3">
        <v>1093.73</v>
      </c>
      <c r="N467" s="3">
        <v>4</v>
      </c>
      <c r="O467" s="3">
        <v>0</v>
      </c>
      <c r="P467" s="3" t="s">
        <v>653</v>
      </c>
      <c r="Q467" s="3">
        <v>3</v>
      </c>
      <c r="R467" s="3">
        <v>4</v>
      </c>
      <c r="S467" s="3">
        <v>4374.92</v>
      </c>
    </row>
    <row r="468" spans="1:19" x14ac:dyDescent="0.35">
      <c r="A468" s="3" t="s">
        <v>607</v>
      </c>
      <c r="B468" s="3">
        <v>1466</v>
      </c>
      <c r="C468">
        <v>3</v>
      </c>
      <c r="D468">
        <v>7</v>
      </c>
      <c r="E468">
        <v>2024</v>
      </c>
      <c r="F468" s="4">
        <f t="shared" si="7"/>
        <v>45476</v>
      </c>
      <c r="G468" s="3" t="s">
        <v>45</v>
      </c>
      <c r="H468" s="3">
        <v>55</v>
      </c>
      <c r="I468" s="3" t="s">
        <v>32</v>
      </c>
      <c r="J468" s="3" t="s">
        <v>46</v>
      </c>
      <c r="K468" s="3" t="s">
        <v>47</v>
      </c>
      <c r="L468" s="3" t="s">
        <v>96</v>
      </c>
      <c r="M468" s="3">
        <v>465.24</v>
      </c>
      <c r="N468" s="3">
        <v>2</v>
      </c>
      <c r="O468" s="3">
        <v>0</v>
      </c>
      <c r="P468" s="3" t="s">
        <v>29</v>
      </c>
      <c r="Q468" s="3"/>
      <c r="R468" s="3">
        <v>2</v>
      </c>
      <c r="S468" s="3">
        <v>930.48</v>
      </c>
    </row>
    <row r="469" spans="1:19" x14ac:dyDescent="0.35">
      <c r="A469" s="3" t="s">
        <v>608</v>
      </c>
      <c r="B469" s="3">
        <v>1467</v>
      </c>
      <c r="C469">
        <v>11</v>
      </c>
      <c r="D469">
        <v>10</v>
      </c>
      <c r="E469">
        <v>2024</v>
      </c>
      <c r="F469" s="4">
        <f t="shared" si="7"/>
        <v>45576</v>
      </c>
      <c r="G469" s="3" t="s">
        <v>130</v>
      </c>
      <c r="H469" s="3">
        <v>52</v>
      </c>
      <c r="I469" s="3" t="s">
        <v>20</v>
      </c>
      <c r="J469" s="3" t="s">
        <v>21</v>
      </c>
      <c r="K469" s="3" t="s">
        <v>38</v>
      </c>
      <c r="L469" s="3" t="s">
        <v>42</v>
      </c>
      <c r="M469" s="3">
        <v>1157.6099999999999</v>
      </c>
      <c r="N469" s="3">
        <v>1</v>
      </c>
      <c r="O469" s="3">
        <v>10</v>
      </c>
      <c r="P469" s="3" t="s">
        <v>654</v>
      </c>
      <c r="Q469" s="3">
        <v>3</v>
      </c>
      <c r="R469" s="3">
        <v>4</v>
      </c>
      <c r="S469" s="3">
        <v>1041.8489999999999</v>
      </c>
    </row>
    <row r="470" spans="1:19" x14ac:dyDescent="0.35">
      <c r="A470" s="3" t="s">
        <v>609</v>
      </c>
      <c r="B470" s="3">
        <v>1468</v>
      </c>
      <c r="C470">
        <v>7</v>
      </c>
      <c r="D470">
        <v>8</v>
      </c>
      <c r="E470">
        <v>2024</v>
      </c>
      <c r="F470" s="4">
        <f t="shared" si="7"/>
        <v>45511</v>
      </c>
      <c r="G470" s="3" t="s">
        <v>174</v>
      </c>
      <c r="H470" s="3">
        <v>47</v>
      </c>
      <c r="I470" s="3" t="s">
        <v>20</v>
      </c>
      <c r="J470" s="3" t="s">
        <v>51</v>
      </c>
      <c r="K470" s="3" t="s">
        <v>38</v>
      </c>
      <c r="L470" s="3" t="s">
        <v>125</v>
      </c>
      <c r="M470" s="3">
        <v>125.36</v>
      </c>
      <c r="N470" s="3">
        <v>4</v>
      </c>
      <c r="O470" s="3">
        <v>15</v>
      </c>
      <c r="P470" s="3" t="s">
        <v>24</v>
      </c>
      <c r="Q470" s="3">
        <v>1</v>
      </c>
      <c r="R470" s="3">
        <v>1</v>
      </c>
      <c r="S470" s="3">
        <v>426.22399999999999</v>
      </c>
    </row>
    <row r="471" spans="1:19" x14ac:dyDescent="0.35">
      <c r="A471" s="3" t="s">
        <v>610</v>
      </c>
      <c r="B471" s="3">
        <v>1469</v>
      </c>
      <c r="C471">
        <v>9</v>
      </c>
      <c r="D471">
        <v>3</v>
      </c>
      <c r="E471">
        <v>2024</v>
      </c>
      <c r="F471" s="4">
        <f t="shared" si="7"/>
        <v>45360</v>
      </c>
      <c r="G471" s="3" t="s">
        <v>31</v>
      </c>
      <c r="H471" s="3">
        <v>48</v>
      </c>
      <c r="I471" s="3" t="s">
        <v>20</v>
      </c>
      <c r="J471" s="3" t="s">
        <v>21</v>
      </c>
      <c r="K471" s="3" t="s">
        <v>47</v>
      </c>
      <c r="L471" s="3" t="s">
        <v>48</v>
      </c>
      <c r="M471" s="3">
        <v>830.68</v>
      </c>
      <c r="N471" s="3">
        <v>4</v>
      </c>
      <c r="O471" s="3">
        <v>10</v>
      </c>
      <c r="P471" s="3" t="s">
        <v>654</v>
      </c>
      <c r="Q471" s="3">
        <v>5</v>
      </c>
      <c r="R471" s="3">
        <v>2</v>
      </c>
      <c r="S471" s="3">
        <v>2990.4479999999999</v>
      </c>
    </row>
    <row r="472" spans="1:19" x14ac:dyDescent="0.35">
      <c r="A472" s="3" t="s">
        <v>611</v>
      </c>
      <c r="B472" s="3">
        <v>1470</v>
      </c>
      <c r="C472">
        <v>16</v>
      </c>
      <c r="D472">
        <v>2</v>
      </c>
      <c r="E472">
        <v>2024</v>
      </c>
      <c r="F472" s="4">
        <f t="shared" si="7"/>
        <v>45338</v>
      </c>
      <c r="G472" s="3" t="s">
        <v>612</v>
      </c>
      <c r="H472" s="3">
        <v>22</v>
      </c>
      <c r="I472" s="3" t="s">
        <v>32</v>
      </c>
      <c r="J472" s="3" t="s">
        <v>21</v>
      </c>
      <c r="K472" s="3" t="s">
        <v>22</v>
      </c>
      <c r="L472" s="3" t="s">
        <v>125</v>
      </c>
      <c r="M472" s="3">
        <v>602.70000000000005</v>
      </c>
      <c r="N472" s="3">
        <v>2</v>
      </c>
      <c r="O472" s="3">
        <v>0</v>
      </c>
      <c r="P472" s="3" t="s">
        <v>24</v>
      </c>
      <c r="Q472" s="3">
        <v>2</v>
      </c>
      <c r="R472" s="3">
        <v>8</v>
      </c>
      <c r="S472" s="3">
        <v>1205.4000000000001</v>
      </c>
    </row>
    <row r="473" spans="1:19" x14ac:dyDescent="0.35">
      <c r="A473" s="3" t="s">
        <v>613</v>
      </c>
      <c r="B473" s="3">
        <v>1471</v>
      </c>
      <c r="C473">
        <v>3</v>
      </c>
      <c r="D473">
        <v>4</v>
      </c>
      <c r="E473">
        <v>2024</v>
      </c>
      <c r="F473" s="4">
        <f t="shared" si="7"/>
        <v>45385</v>
      </c>
      <c r="G473" s="3" t="s">
        <v>116</v>
      </c>
      <c r="H473" s="3">
        <v>31</v>
      </c>
      <c r="I473" s="3" t="s">
        <v>20</v>
      </c>
      <c r="J473" s="3" t="s">
        <v>51</v>
      </c>
      <c r="K473" s="3" t="s">
        <v>47</v>
      </c>
      <c r="L473" s="3" t="s">
        <v>64</v>
      </c>
      <c r="M473" s="3">
        <v>477.43</v>
      </c>
      <c r="N473" s="3">
        <v>4</v>
      </c>
      <c r="O473" s="3">
        <v>20</v>
      </c>
      <c r="P473" s="3" t="s">
        <v>24</v>
      </c>
      <c r="Q473" s="3">
        <v>4</v>
      </c>
      <c r="R473" s="3">
        <v>6</v>
      </c>
      <c r="S473" s="3">
        <v>1527.7760000000001</v>
      </c>
    </row>
    <row r="474" spans="1:19" x14ac:dyDescent="0.35">
      <c r="A474" s="3" t="s">
        <v>614</v>
      </c>
      <c r="B474" s="3">
        <v>1472</v>
      </c>
      <c r="C474">
        <v>25</v>
      </c>
      <c r="D474">
        <v>8</v>
      </c>
      <c r="E474">
        <v>2024</v>
      </c>
      <c r="F474" s="4">
        <f t="shared" si="7"/>
        <v>45529</v>
      </c>
      <c r="G474" s="3" t="s">
        <v>85</v>
      </c>
      <c r="H474" s="3">
        <v>28</v>
      </c>
      <c r="I474" s="3" t="s">
        <v>32</v>
      </c>
      <c r="J474" s="3" t="s">
        <v>21</v>
      </c>
      <c r="K474" s="3" t="s">
        <v>47</v>
      </c>
      <c r="L474" s="3" t="s">
        <v>28</v>
      </c>
      <c r="M474" s="3">
        <v>766.6</v>
      </c>
      <c r="N474" s="3">
        <v>3</v>
      </c>
      <c r="O474" s="3">
        <v>10</v>
      </c>
      <c r="P474" s="3" t="s">
        <v>654</v>
      </c>
      <c r="Q474" s="3">
        <v>3</v>
      </c>
      <c r="R474" s="3">
        <v>2</v>
      </c>
      <c r="S474" s="3">
        <v>2069.8200000000002</v>
      </c>
    </row>
    <row r="475" spans="1:19" x14ac:dyDescent="0.35">
      <c r="A475" s="3" t="s">
        <v>615</v>
      </c>
      <c r="B475" s="3">
        <v>1473</v>
      </c>
      <c r="C475">
        <v>22</v>
      </c>
      <c r="D475">
        <v>7</v>
      </c>
      <c r="E475">
        <v>2024</v>
      </c>
      <c r="F475" s="4">
        <f t="shared" si="7"/>
        <v>45495</v>
      </c>
      <c r="G475" s="3" t="s">
        <v>40</v>
      </c>
      <c r="H475" s="3">
        <v>26</v>
      </c>
      <c r="I475" s="3" t="s">
        <v>20</v>
      </c>
      <c r="J475" s="3" t="s">
        <v>33</v>
      </c>
      <c r="K475" s="3" t="s">
        <v>38</v>
      </c>
      <c r="L475" s="3" t="s">
        <v>35</v>
      </c>
      <c r="M475" s="3">
        <v>850.55</v>
      </c>
      <c r="N475" s="3">
        <v>2</v>
      </c>
      <c r="O475" s="3">
        <v>10</v>
      </c>
      <c r="P475" s="3" t="s">
        <v>654</v>
      </c>
      <c r="Q475" s="3">
        <v>2</v>
      </c>
      <c r="R475" s="3">
        <v>6</v>
      </c>
      <c r="S475" s="3">
        <v>1530.99</v>
      </c>
    </row>
    <row r="476" spans="1:19" x14ac:dyDescent="0.35">
      <c r="A476" s="3" t="s">
        <v>616</v>
      </c>
      <c r="B476" s="3">
        <v>1474</v>
      </c>
      <c r="C476">
        <v>5</v>
      </c>
      <c r="D476">
        <v>8</v>
      </c>
      <c r="E476">
        <v>2024</v>
      </c>
      <c r="F476" s="4">
        <f t="shared" si="7"/>
        <v>45509</v>
      </c>
      <c r="G476" s="3" t="s">
        <v>85</v>
      </c>
      <c r="H476" s="3">
        <v>51</v>
      </c>
      <c r="I476" s="3" t="s">
        <v>20</v>
      </c>
      <c r="J476" s="3" t="s">
        <v>33</v>
      </c>
      <c r="K476" s="3" t="s">
        <v>38</v>
      </c>
      <c r="L476" s="3" t="s">
        <v>96</v>
      </c>
      <c r="M476" s="3">
        <v>25.15</v>
      </c>
      <c r="N476" s="3">
        <v>1</v>
      </c>
      <c r="O476" s="3">
        <v>5</v>
      </c>
      <c r="P476" s="3" t="s">
        <v>24</v>
      </c>
      <c r="Q476" s="3">
        <v>5</v>
      </c>
      <c r="R476" s="3">
        <v>9</v>
      </c>
      <c r="S476" s="3">
        <v>23.892499999999998</v>
      </c>
    </row>
    <row r="477" spans="1:19" x14ac:dyDescent="0.35">
      <c r="A477" s="3" t="s">
        <v>617</v>
      </c>
      <c r="B477" s="3">
        <v>1475</v>
      </c>
      <c r="C477">
        <v>6</v>
      </c>
      <c r="D477">
        <v>12</v>
      </c>
      <c r="E477">
        <v>2024</v>
      </c>
      <c r="F477" s="4">
        <f t="shared" si="7"/>
        <v>45632</v>
      </c>
      <c r="G477" s="3" t="s">
        <v>456</v>
      </c>
      <c r="H477" s="3">
        <v>29</v>
      </c>
      <c r="I477" s="3" t="s">
        <v>32</v>
      </c>
      <c r="J477" s="3" t="s">
        <v>21</v>
      </c>
      <c r="K477" s="3" t="s">
        <v>47</v>
      </c>
      <c r="L477" s="3" t="s">
        <v>48</v>
      </c>
      <c r="M477" s="3">
        <v>217</v>
      </c>
      <c r="N477" s="3">
        <v>1</v>
      </c>
      <c r="O477" s="3">
        <v>0</v>
      </c>
      <c r="P477" s="3" t="s">
        <v>653</v>
      </c>
      <c r="Q477" s="3">
        <v>1</v>
      </c>
      <c r="R477" s="3">
        <v>7</v>
      </c>
      <c r="S477" s="3">
        <v>217</v>
      </c>
    </row>
    <row r="478" spans="1:19" x14ac:dyDescent="0.35">
      <c r="A478" s="3" t="s">
        <v>618</v>
      </c>
      <c r="B478" s="3">
        <v>1476</v>
      </c>
      <c r="C478">
        <v>8</v>
      </c>
      <c r="D478">
        <v>2</v>
      </c>
      <c r="E478">
        <v>2024</v>
      </c>
      <c r="F478" s="4">
        <f t="shared" si="7"/>
        <v>45330</v>
      </c>
      <c r="G478" s="3" t="s">
        <v>352</v>
      </c>
      <c r="H478" s="3">
        <v>52</v>
      </c>
      <c r="I478" s="3" t="s">
        <v>20</v>
      </c>
      <c r="J478" s="3" t="s">
        <v>46</v>
      </c>
      <c r="K478" s="3" t="s">
        <v>47</v>
      </c>
      <c r="L478" s="3" t="s">
        <v>125</v>
      </c>
      <c r="M478" s="3">
        <v>861.39</v>
      </c>
      <c r="N478" s="3">
        <v>3</v>
      </c>
      <c r="O478" s="3">
        <v>20</v>
      </c>
      <c r="P478" s="3" t="s">
        <v>653</v>
      </c>
      <c r="Q478" s="3">
        <v>3</v>
      </c>
      <c r="R478" s="3">
        <v>9</v>
      </c>
      <c r="S478" s="3">
        <v>2067.3359999999998</v>
      </c>
    </row>
    <row r="479" spans="1:19" x14ac:dyDescent="0.35">
      <c r="A479" s="3" t="s">
        <v>619</v>
      </c>
      <c r="B479" s="3">
        <v>1477</v>
      </c>
      <c r="C479">
        <v>9</v>
      </c>
      <c r="D479">
        <v>4</v>
      </c>
      <c r="E479">
        <v>2024</v>
      </c>
      <c r="F479" s="4">
        <f t="shared" si="7"/>
        <v>45391</v>
      </c>
      <c r="G479" s="3" t="s">
        <v>291</v>
      </c>
      <c r="H479" s="3">
        <v>52</v>
      </c>
      <c r="I479" s="3" t="s">
        <v>32</v>
      </c>
      <c r="J479" s="3" t="s">
        <v>51</v>
      </c>
      <c r="K479" s="3" t="s">
        <v>47</v>
      </c>
      <c r="L479" s="3" t="s">
        <v>23</v>
      </c>
      <c r="M479" s="3">
        <v>806.33</v>
      </c>
      <c r="N479" s="3">
        <v>1</v>
      </c>
      <c r="O479" s="3">
        <v>10</v>
      </c>
      <c r="P479" s="3" t="s">
        <v>654</v>
      </c>
      <c r="Q479" s="3"/>
      <c r="R479" s="3">
        <v>5</v>
      </c>
      <c r="S479" s="3">
        <v>725.697</v>
      </c>
    </row>
    <row r="480" spans="1:19" x14ac:dyDescent="0.35">
      <c r="A480" s="3" t="s">
        <v>620</v>
      </c>
      <c r="B480" s="3">
        <v>1478</v>
      </c>
      <c r="C480">
        <v>15</v>
      </c>
      <c r="D480">
        <v>10</v>
      </c>
      <c r="E480">
        <v>2024</v>
      </c>
      <c r="F480" s="4">
        <f t="shared" si="7"/>
        <v>45580</v>
      </c>
      <c r="G480" s="3" t="s">
        <v>167</v>
      </c>
      <c r="H480" s="3">
        <v>18</v>
      </c>
      <c r="I480" s="3" t="s">
        <v>32</v>
      </c>
      <c r="J480" s="3" t="s">
        <v>33</v>
      </c>
      <c r="K480" s="3" t="s">
        <v>38</v>
      </c>
      <c r="L480" s="3" t="s">
        <v>64</v>
      </c>
      <c r="M480" s="3">
        <v>1159.94</v>
      </c>
      <c r="N480" s="3">
        <v>4</v>
      </c>
      <c r="O480" s="3">
        <v>10</v>
      </c>
      <c r="P480" s="3" t="s">
        <v>29</v>
      </c>
      <c r="Q480" s="3">
        <v>2</v>
      </c>
      <c r="R480" s="3">
        <v>7</v>
      </c>
      <c r="S480" s="3">
        <v>4175.7839999999997</v>
      </c>
    </row>
    <row r="481" spans="1:19" x14ac:dyDescent="0.35">
      <c r="A481" s="3" t="s">
        <v>621</v>
      </c>
      <c r="B481" s="3">
        <v>1479</v>
      </c>
      <c r="C481">
        <v>10</v>
      </c>
      <c r="D481">
        <v>9</v>
      </c>
      <c r="E481">
        <v>2024</v>
      </c>
      <c r="F481" s="4">
        <f t="shared" si="7"/>
        <v>45545</v>
      </c>
      <c r="G481" s="3" t="s">
        <v>130</v>
      </c>
      <c r="H481" s="3">
        <v>57</v>
      </c>
      <c r="I481" s="3" t="s">
        <v>20</v>
      </c>
      <c r="J481" s="3" t="s">
        <v>46</v>
      </c>
      <c r="K481" s="3" t="s">
        <v>47</v>
      </c>
      <c r="L481" s="3" t="s">
        <v>23</v>
      </c>
      <c r="M481" s="3">
        <v>918.02</v>
      </c>
      <c r="N481" s="3">
        <v>4</v>
      </c>
      <c r="O481" s="3">
        <v>20</v>
      </c>
      <c r="P481" s="3" t="s">
        <v>653</v>
      </c>
      <c r="Q481" s="3"/>
      <c r="R481" s="3">
        <v>7</v>
      </c>
      <c r="S481" s="3">
        <v>2937.6640000000002</v>
      </c>
    </row>
    <row r="482" spans="1:19" x14ac:dyDescent="0.35">
      <c r="A482" s="3" t="s">
        <v>622</v>
      </c>
      <c r="B482" s="3">
        <v>1480</v>
      </c>
      <c r="C482">
        <v>9</v>
      </c>
      <c r="D482">
        <v>8</v>
      </c>
      <c r="E482">
        <v>2024</v>
      </c>
      <c r="F482" s="4">
        <f t="shared" si="7"/>
        <v>45513</v>
      </c>
      <c r="G482" s="3" t="s">
        <v>107</v>
      </c>
      <c r="H482" s="3">
        <v>39</v>
      </c>
      <c r="I482" s="3" t="s">
        <v>32</v>
      </c>
      <c r="J482" s="3" t="s">
        <v>21</v>
      </c>
      <c r="K482" s="3" t="s">
        <v>47</v>
      </c>
      <c r="L482" s="3" t="s">
        <v>96</v>
      </c>
      <c r="M482" s="3">
        <v>1141.9100000000001</v>
      </c>
      <c r="N482" s="3">
        <v>3</v>
      </c>
      <c r="O482" s="3">
        <v>0</v>
      </c>
      <c r="P482" s="3" t="s">
        <v>654</v>
      </c>
      <c r="Q482" s="3">
        <v>2</v>
      </c>
      <c r="R482" s="3">
        <v>3</v>
      </c>
      <c r="S482" s="3">
        <v>3425.73</v>
      </c>
    </row>
    <row r="483" spans="1:19" x14ac:dyDescent="0.35">
      <c r="A483" s="3" t="s">
        <v>623</v>
      </c>
      <c r="B483" s="3">
        <v>1481</v>
      </c>
      <c r="C483">
        <v>22</v>
      </c>
      <c r="D483">
        <v>12</v>
      </c>
      <c r="E483">
        <v>2024</v>
      </c>
      <c r="F483" s="4">
        <f t="shared" si="7"/>
        <v>45648</v>
      </c>
      <c r="G483" s="3" t="s">
        <v>213</v>
      </c>
      <c r="H483" s="3">
        <v>46</v>
      </c>
      <c r="I483" s="3" t="s">
        <v>32</v>
      </c>
      <c r="J483" s="3" t="s">
        <v>46</v>
      </c>
      <c r="K483" s="3" t="s">
        <v>34</v>
      </c>
      <c r="L483" s="3" t="s">
        <v>48</v>
      </c>
      <c r="M483" s="3">
        <v>849</v>
      </c>
      <c r="N483" s="3">
        <v>1</v>
      </c>
      <c r="O483" s="3">
        <v>5</v>
      </c>
      <c r="P483" s="3" t="s">
        <v>653</v>
      </c>
      <c r="Q483" s="3">
        <v>2</v>
      </c>
      <c r="R483" s="3">
        <v>7</v>
      </c>
      <c r="S483" s="3">
        <v>806.55</v>
      </c>
    </row>
    <row r="484" spans="1:19" x14ac:dyDescent="0.35">
      <c r="A484" s="3" t="s">
        <v>624</v>
      </c>
      <c r="B484" s="3">
        <v>1482</v>
      </c>
      <c r="C484">
        <v>23</v>
      </c>
      <c r="D484">
        <v>1</v>
      </c>
      <c r="E484">
        <v>2024</v>
      </c>
      <c r="F484" s="4">
        <f t="shared" si="7"/>
        <v>45314</v>
      </c>
      <c r="G484" s="3" t="s">
        <v>169</v>
      </c>
      <c r="H484" s="3">
        <v>25</v>
      </c>
      <c r="I484" s="3" t="s">
        <v>20</v>
      </c>
      <c r="J484" s="3" t="s">
        <v>27</v>
      </c>
      <c r="K484" s="3" t="s">
        <v>22</v>
      </c>
      <c r="L484" s="3" t="s">
        <v>64</v>
      </c>
      <c r="M484" s="3">
        <v>371.7</v>
      </c>
      <c r="N484" s="3">
        <v>1</v>
      </c>
      <c r="O484" s="3">
        <v>10</v>
      </c>
      <c r="P484" s="3" t="s">
        <v>29</v>
      </c>
      <c r="Q484" s="3">
        <v>5</v>
      </c>
      <c r="R484" s="3">
        <v>1</v>
      </c>
      <c r="S484" s="3">
        <v>334.53</v>
      </c>
    </row>
    <row r="485" spans="1:19" x14ac:dyDescent="0.35">
      <c r="A485" s="3" t="s">
        <v>625</v>
      </c>
      <c r="B485" s="3">
        <v>1483</v>
      </c>
      <c r="C485">
        <v>6</v>
      </c>
      <c r="D485">
        <v>9</v>
      </c>
      <c r="E485">
        <v>2024</v>
      </c>
      <c r="F485" s="4">
        <f t="shared" si="7"/>
        <v>45541</v>
      </c>
      <c r="G485" s="3" t="s">
        <v>37</v>
      </c>
      <c r="H485" s="3">
        <v>28</v>
      </c>
      <c r="I485" s="3" t="s">
        <v>32</v>
      </c>
      <c r="J485" s="3" t="s">
        <v>33</v>
      </c>
      <c r="K485" s="3" t="s">
        <v>41</v>
      </c>
      <c r="L485" s="3" t="s">
        <v>48</v>
      </c>
      <c r="M485" s="3">
        <v>144.33000000000001</v>
      </c>
      <c r="N485" s="3">
        <v>3</v>
      </c>
      <c r="O485" s="3">
        <v>5</v>
      </c>
      <c r="P485" s="3" t="s">
        <v>654</v>
      </c>
      <c r="Q485" s="3">
        <v>5</v>
      </c>
      <c r="R485" s="3">
        <v>9</v>
      </c>
      <c r="S485" s="3">
        <v>411.34050000000002</v>
      </c>
    </row>
    <row r="486" spans="1:19" x14ac:dyDescent="0.35">
      <c r="A486" s="3" t="s">
        <v>626</v>
      </c>
      <c r="B486" s="3">
        <v>1484</v>
      </c>
      <c r="C486">
        <v>10</v>
      </c>
      <c r="D486">
        <v>1</v>
      </c>
      <c r="E486">
        <v>2024</v>
      </c>
      <c r="F486" s="4">
        <f t="shared" si="7"/>
        <v>45301</v>
      </c>
      <c r="G486" s="3" t="s">
        <v>291</v>
      </c>
      <c r="H486" s="3">
        <v>58</v>
      </c>
      <c r="I486" s="3" t="s">
        <v>32</v>
      </c>
      <c r="J486" s="3" t="s">
        <v>21</v>
      </c>
      <c r="K486" s="3" t="s">
        <v>22</v>
      </c>
      <c r="L486" s="3" t="s">
        <v>35</v>
      </c>
      <c r="M486" s="3">
        <v>942.55</v>
      </c>
      <c r="N486" s="3">
        <v>2</v>
      </c>
      <c r="O486" s="3">
        <v>15</v>
      </c>
      <c r="P486" s="3" t="s">
        <v>29</v>
      </c>
      <c r="Q486" s="3">
        <v>5</v>
      </c>
      <c r="R486" s="3">
        <v>6</v>
      </c>
      <c r="S486" s="3">
        <v>1602.335</v>
      </c>
    </row>
    <row r="487" spans="1:19" x14ac:dyDescent="0.35">
      <c r="A487" s="3" t="s">
        <v>627</v>
      </c>
      <c r="B487" s="3">
        <v>1485</v>
      </c>
      <c r="C487">
        <v>2</v>
      </c>
      <c r="D487">
        <v>9</v>
      </c>
      <c r="E487">
        <v>2024</v>
      </c>
      <c r="F487" s="4">
        <f t="shared" si="7"/>
        <v>45537</v>
      </c>
      <c r="G487" s="3" t="s">
        <v>178</v>
      </c>
      <c r="H487" s="3">
        <v>54</v>
      </c>
      <c r="I487" s="3" t="s">
        <v>32</v>
      </c>
      <c r="J487" s="3" t="s">
        <v>51</v>
      </c>
      <c r="K487" s="3" t="s">
        <v>34</v>
      </c>
      <c r="L487" s="3" t="s">
        <v>55</v>
      </c>
      <c r="M487" s="3">
        <v>780.1</v>
      </c>
      <c r="N487" s="3">
        <v>1</v>
      </c>
      <c r="O487" s="3">
        <v>0</v>
      </c>
      <c r="P487" s="3" t="s">
        <v>654</v>
      </c>
      <c r="Q487" s="3">
        <v>4</v>
      </c>
      <c r="R487" s="3">
        <v>5</v>
      </c>
      <c r="S487" s="3">
        <v>780.1</v>
      </c>
    </row>
    <row r="488" spans="1:19" x14ac:dyDescent="0.35">
      <c r="A488" s="3" t="s">
        <v>628</v>
      </c>
      <c r="B488" s="3">
        <v>1486</v>
      </c>
      <c r="C488">
        <v>20</v>
      </c>
      <c r="D488">
        <v>11</v>
      </c>
      <c r="E488">
        <v>2024</v>
      </c>
      <c r="F488" s="4">
        <f t="shared" si="7"/>
        <v>45616</v>
      </c>
      <c r="G488" s="3" t="s">
        <v>116</v>
      </c>
      <c r="H488" s="3">
        <v>31</v>
      </c>
      <c r="I488" s="3" t="s">
        <v>20</v>
      </c>
      <c r="J488" s="3" t="s">
        <v>21</v>
      </c>
      <c r="K488" s="3" t="s">
        <v>41</v>
      </c>
      <c r="L488" s="3" t="s">
        <v>64</v>
      </c>
      <c r="M488" s="3">
        <v>76.86</v>
      </c>
      <c r="N488" s="3">
        <v>2</v>
      </c>
      <c r="O488" s="3">
        <v>15</v>
      </c>
      <c r="P488" s="3" t="s">
        <v>29</v>
      </c>
      <c r="Q488" s="3">
        <v>2</v>
      </c>
      <c r="R488" s="3">
        <v>7</v>
      </c>
      <c r="S488" s="3">
        <v>130.66200000000001</v>
      </c>
    </row>
    <row r="489" spans="1:19" x14ac:dyDescent="0.35">
      <c r="A489" s="3" t="s">
        <v>629</v>
      </c>
      <c r="B489" s="3">
        <v>1487</v>
      </c>
      <c r="C489">
        <v>9</v>
      </c>
      <c r="D489">
        <v>4</v>
      </c>
      <c r="E489">
        <v>2024</v>
      </c>
      <c r="F489" s="4">
        <f t="shared" si="7"/>
        <v>45391</v>
      </c>
      <c r="G489" s="3" t="s">
        <v>85</v>
      </c>
      <c r="H489" s="3">
        <v>47</v>
      </c>
      <c r="I489" s="3" t="s">
        <v>32</v>
      </c>
      <c r="J489" s="3" t="s">
        <v>51</v>
      </c>
      <c r="K489" s="3" t="s">
        <v>47</v>
      </c>
      <c r="L489" s="3" t="s">
        <v>23</v>
      </c>
      <c r="M489" s="3">
        <v>444.86</v>
      </c>
      <c r="N489" s="3">
        <v>1</v>
      </c>
      <c r="O489" s="3">
        <v>15</v>
      </c>
      <c r="P489" s="3" t="s">
        <v>653</v>
      </c>
      <c r="Q489" s="3">
        <v>3</v>
      </c>
      <c r="R489" s="3">
        <v>5</v>
      </c>
      <c r="S489" s="3">
        <v>378.13099999999997</v>
      </c>
    </row>
    <row r="490" spans="1:19" x14ac:dyDescent="0.35">
      <c r="A490" s="3" t="s">
        <v>630</v>
      </c>
      <c r="B490" s="3">
        <v>1488</v>
      </c>
      <c r="C490">
        <v>16</v>
      </c>
      <c r="D490">
        <v>10</v>
      </c>
      <c r="E490">
        <v>2024</v>
      </c>
      <c r="F490" s="4">
        <f t="shared" si="7"/>
        <v>45581</v>
      </c>
      <c r="G490" s="3" t="s">
        <v>225</v>
      </c>
      <c r="H490" s="3">
        <v>52</v>
      </c>
      <c r="I490" s="3" t="s">
        <v>20</v>
      </c>
      <c r="J490" s="3" t="s">
        <v>21</v>
      </c>
      <c r="K490" s="3" t="s">
        <v>34</v>
      </c>
      <c r="L490" s="3" t="s">
        <v>96</v>
      </c>
      <c r="M490" s="3">
        <v>1149.02</v>
      </c>
      <c r="N490" s="3">
        <v>1</v>
      </c>
      <c r="O490" s="3">
        <v>15</v>
      </c>
      <c r="P490" s="3" t="s">
        <v>653</v>
      </c>
      <c r="Q490" s="3"/>
      <c r="R490" s="3">
        <v>5</v>
      </c>
      <c r="S490" s="3">
        <v>976.66700000000003</v>
      </c>
    </row>
    <row r="491" spans="1:19" x14ac:dyDescent="0.35">
      <c r="A491" s="3" t="s">
        <v>631</v>
      </c>
      <c r="B491" s="3">
        <v>1489</v>
      </c>
      <c r="C491">
        <v>28</v>
      </c>
      <c r="D491">
        <v>6</v>
      </c>
      <c r="E491">
        <v>2024</v>
      </c>
      <c r="F491" s="4">
        <f t="shared" si="7"/>
        <v>45471</v>
      </c>
      <c r="G491" s="3" t="s">
        <v>158</v>
      </c>
      <c r="H491" s="3">
        <v>38</v>
      </c>
      <c r="I491" s="3" t="s">
        <v>20</v>
      </c>
      <c r="J491" s="3" t="s">
        <v>46</v>
      </c>
      <c r="K491" s="3" t="s">
        <v>47</v>
      </c>
      <c r="L491" s="3" t="s">
        <v>28</v>
      </c>
      <c r="M491" s="3">
        <v>610.47</v>
      </c>
      <c r="N491" s="3">
        <v>1</v>
      </c>
      <c r="O491" s="3">
        <v>0</v>
      </c>
      <c r="P491" s="3" t="s">
        <v>29</v>
      </c>
      <c r="Q491" s="3">
        <v>5</v>
      </c>
      <c r="R491" s="3">
        <v>7</v>
      </c>
      <c r="S491" s="3">
        <v>610.47</v>
      </c>
    </row>
    <row r="492" spans="1:19" x14ac:dyDescent="0.35">
      <c r="A492" s="3" t="s">
        <v>632</v>
      </c>
      <c r="B492" s="3">
        <v>1490</v>
      </c>
      <c r="C492">
        <v>10</v>
      </c>
      <c r="D492">
        <v>8</v>
      </c>
      <c r="E492">
        <v>2024</v>
      </c>
      <c r="F492" s="4">
        <f t="shared" si="7"/>
        <v>45514</v>
      </c>
      <c r="G492" s="3" t="s">
        <v>45</v>
      </c>
      <c r="H492" s="3"/>
      <c r="I492" s="3" t="s">
        <v>32</v>
      </c>
      <c r="J492" s="3" t="s">
        <v>655</v>
      </c>
      <c r="K492" s="3" t="s">
        <v>38</v>
      </c>
      <c r="L492" s="3" t="s">
        <v>35</v>
      </c>
      <c r="M492" s="3">
        <v>530.62</v>
      </c>
      <c r="N492" s="3">
        <v>1</v>
      </c>
      <c r="O492" s="3">
        <v>0</v>
      </c>
      <c r="P492" s="3" t="s">
        <v>29</v>
      </c>
      <c r="Q492" s="3"/>
      <c r="R492" s="3">
        <v>7</v>
      </c>
      <c r="S492" s="3">
        <v>530.62</v>
      </c>
    </row>
    <row r="493" spans="1:19" x14ac:dyDescent="0.35">
      <c r="A493" s="3" t="s">
        <v>633</v>
      </c>
      <c r="B493" s="3">
        <v>1491</v>
      </c>
      <c r="C493">
        <v>6</v>
      </c>
      <c r="D493">
        <v>9</v>
      </c>
      <c r="E493">
        <v>2024</v>
      </c>
      <c r="F493" s="4">
        <f t="shared" si="7"/>
        <v>45541</v>
      </c>
      <c r="G493" s="3" t="s">
        <v>124</v>
      </c>
      <c r="H493" s="3"/>
      <c r="I493" s="3" t="s">
        <v>32</v>
      </c>
      <c r="J493" s="3" t="s">
        <v>655</v>
      </c>
      <c r="K493" s="3" t="s">
        <v>34</v>
      </c>
      <c r="L493" s="3" t="s">
        <v>55</v>
      </c>
      <c r="M493" s="3">
        <v>560.09</v>
      </c>
      <c r="N493" s="3">
        <v>4</v>
      </c>
      <c r="O493" s="3">
        <v>20</v>
      </c>
      <c r="P493" s="3" t="s">
        <v>29</v>
      </c>
      <c r="Q493" s="3"/>
      <c r="R493" s="3">
        <v>3</v>
      </c>
      <c r="S493" s="3">
        <v>1792.288</v>
      </c>
    </row>
    <row r="494" spans="1:19" x14ac:dyDescent="0.35">
      <c r="A494" s="3" t="s">
        <v>634</v>
      </c>
      <c r="B494" s="3">
        <v>1492</v>
      </c>
      <c r="C494">
        <v>26</v>
      </c>
      <c r="D494">
        <v>5</v>
      </c>
      <c r="E494">
        <v>2024</v>
      </c>
      <c r="F494" s="4">
        <f t="shared" si="7"/>
        <v>45438</v>
      </c>
      <c r="G494" s="3" t="s">
        <v>178</v>
      </c>
      <c r="H494" s="3">
        <v>36</v>
      </c>
      <c r="I494" s="3" t="s">
        <v>32</v>
      </c>
      <c r="J494" s="3" t="s">
        <v>27</v>
      </c>
      <c r="K494" s="3" t="s">
        <v>38</v>
      </c>
      <c r="L494" s="3" t="s">
        <v>28</v>
      </c>
      <c r="M494" s="3">
        <v>266.48</v>
      </c>
      <c r="N494" s="3">
        <v>2</v>
      </c>
      <c r="O494" s="3">
        <v>5</v>
      </c>
      <c r="P494" s="3" t="s">
        <v>654</v>
      </c>
      <c r="Q494" s="3"/>
      <c r="R494" s="3">
        <v>3</v>
      </c>
      <c r="S494" s="3">
        <v>506.31200000000001</v>
      </c>
    </row>
    <row r="495" spans="1:19" x14ac:dyDescent="0.35">
      <c r="A495" s="3" t="s">
        <v>635</v>
      </c>
      <c r="B495" s="3">
        <v>1493</v>
      </c>
      <c r="C495">
        <v>5</v>
      </c>
      <c r="D495">
        <v>4</v>
      </c>
      <c r="E495">
        <v>2024</v>
      </c>
      <c r="F495" s="4">
        <f t="shared" si="7"/>
        <v>45387</v>
      </c>
      <c r="G495" s="3" t="s">
        <v>270</v>
      </c>
      <c r="H495" s="3">
        <v>31</v>
      </c>
      <c r="I495" s="3" t="s">
        <v>20</v>
      </c>
      <c r="J495" s="3" t="s">
        <v>51</v>
      </c>
      <c r="K495" s="3" t="s">
        <v>34</v>
      </c>
      <c r="L495" s="3" t="s">
        <v>42</v>
      </c>
      <c r="M495" s="3">
        <v>455.07</v>
      </c>
      <c r="N495" s="3">
        <v>2</v>
      </c>
      <c r="O495" s="3">
        <v>5</v>
      </c>
      <c r="P495" s="3" t="s">
        <v>653</v>
      </c>
      <c r="Q495" s="3">
        <v>2</v>
      </c>
      <c r="R495" s="3">
        <v>3</v>
      </c>
      <c r="S495" s="3">
        <v>864.63300000000004</v>
      </c>
    </row>
    <row r="496" spans="1:19" x14ac:dyDescent="0.35">
      <c r="A496" s="3" t="s">
        <v>636</v>
      </c>
      <c r="B496" s="3">
        <v>1494</v>
      </c>
      <c r="C496">
        <v>13</v>
      </c>
      <c r="D496">
        <v>9</v>
      </c>
      <c r="E496">
        <v>2024</v>
      </c>
      <c r="F496" s="4">
        <f t="shared" si="7"/>
        <v>45548</v>
      </c>
      <c r="G496" s="3" t="s">
        <v>182</v>
      </c>
      <c r="H496" s="3">
        <v>43</v>
      </c>
      <c r="I496" s="3" t="s">
        <v>32</v>
      </c>
      <c r="J496" s="3" t="s">
        <v>46</v>
      </c>
      <c r="K496" s="3" t="s">
        <v>34</v>
      </c>
      <c r="L496" s="3" t="s">
        <v>35</v>
      </c>
      <c r="M496" s="3">
        <v>456.38</v>
      </c>
      <c r="N496" s="3">
        <v>1</v>
      </c>
      <c r="O496" s="3">
        <v>20</v>
      </c>
      <c r="P496" s="3" t="s">
        <v>654</v>
      </c>
      <c r="Q496" s="3">
        <v>5</v>
      </c>
      <c r="R496" s="3">
        <v>6</v>
      </c>
      <c r="S496" s="3">
        <v>365.10399999999998</v>
      </c>
    </row>
    <row r="497" spans="1:19" x14ac:dyDescent="0.35">
      <c r="A497" s="3" t="s">
        <v>637</v>
      </c>
      <c r="B497" s="3">
        <v>1495</v>
      </c>
      <c r="C497">
        <v>20</v>
      </c>
      <c r="D497">
        <v>11</v>
      </c>
      <c r="E497">
        <v>2024</v>
      </c>
      <c r="F497" s="4">
        <f t="shared" si="7"/>
        <v>45616</v>
      </c>
      <c r="G497" s="3" t="s">
        <v>358</v>
      </c>
      <c r="H497" s="3"/>
      <c r="I497" s="3" t="s">
        <v>32</v>
      </c>
      <c r="J497" s="3" t="s">
        <v>655</v>
      </c>
      <c r="K497" s="3" t="s">
        <v>38</v>
      </c>
      <c r="L497" s="3" t="s">
        <v>96</v>
      </c>
      <c r="M497" s="3">
        <v>81.78</v>
      </c>
      <c r="N497" s="3">
        <v>1</v>
      </c>
      <c r="O497" s="3">
        <v>20</v>
      </c>
      <c r="P497" s="3" t="s">
        <v>653</v>
      </c>
      <c r="Q497" s="3"/>
      <c r="R497" s="3">
        <v>6</v>
      </c>
      <c r="S497" s="3">
        <v>65.424000000000007</v>
      </c>
    </row>
    <row r="498" spans="1:19" x14ac:dyDescent="0.35">
      <c r="A498" s="3" t="s">
        <v>638</v>
      </c>
      <c r="B498" s="3">
        <v>1496</v>
      </c>
      <c r="C498">
        <v>4</v>
      </c>
      <c r="D498">
        <v>1</v>
      </c>
      <c r="E498">
        <v>2024</v>
      </c>
      <c r="F498" s="4">
        <f t="shared" si="7"/>
        <v>45295</v>
      </c>
      <c r="G498" s="3" t="s">
        <v>233</v>
      </c>
      <c r="H498" s="3">
        <v>42</v>
      </c>
      <c r="I498" s="3" t="s">
        <v>32</v>
      </c>
      <c r="J498" s="3" t="s">
        <v>51</v>
      </c>
      <c r="K498" s="3" t="s">
        <v>41</v>
      </c>
      <c r="L498" s="3" t="s">
        <v>125</v>
      </c>
      <c r="M498" s="3">
        <v>925.73</v>
      </c>
      <c r="N498" s="3">
        <v>2</v>
      </c>
      <c r="O498" s="3">
        <v>15</v>
      </c>
      <c r="P498" s="3" t="s">
        <v>24</v>
      </c>
      <c r="Q498" s="3">
        <v>4</v>
      </c>
      <c r="R498" s="3">
        <v>3</v>
      </c>
      <c r="S498" s="3">
        <v>1573.741</v>
      </c>
    </row>
    <row r="499" spans="1:19" x14ac:dyDescent="0.35">
      <c r="A499" s="3" t="s">
        <v>639</v>
      </c>
      <c r="B499" s="3">
        <v>1497</v>
      </c>
      <c r="C499">
        <v>16</v>
      </c>
      <c r="D499">
        <v>1</v>
      </c>
      <c r="E499">
        <v>2024</v>
      </c>
      <c r="F499" s="4">
        <f t="shared" si="7"/>
        <v>45307</v>
      </c>
      <c r="G499" s="3" t="s">
        <v>388</v>
      </c>
      <c r="H499" s="3">
        <v>59</v>
      </c>
      <c r="I499" s="3" t="s">
        <v>32</v>
      </c>
      <c r="J499" s="3" t="s">
        <v>21</v>
      </c>
      <c r="K499" s="3" t="s">
        <v>22</v>
      </c>
      <c r="L499" s="3" t="s">
        <v>64</v>
      </c>
      <c r="M499" s="3">
        <v>511.48</v>
      </c>
      <c r="N499" s="3">
        <v>4</v>
      </c>
      <c r="O499" s="3">
        <v>20</v>
      </c>
      <c r="P499" s="3" t="s">
        <v>654</v>
      </c>
      <c r="Q499" s="3">
        <v>4</v>
      </c>
      <c r="R499" s="3">
        <v>3</v>
      </c>
      <c r="S499" s="3">
        <v>1636.7360000000001</v>
      </c>
    </row>
    <row r="500" spans="1:19" x14ac:dyDescent="0.35">
      <c r="A500" s="3" t="s">
        <v>640</v>
      </c>
      <c r="B500" s="3">
        <v>1498</v>
      </c>
      <c r="C500">
        <v>6</v>
      </c>
      <c r="D500">
        <v>10</v>
      </c>
      <c r="E500">
        <v>2024</v>
      </c>
      <c r="F500" s="4">
        <f t="shared" si="7"/>
        <v>45571</v>
      </c>
      <c r="G500" s="3" t="s">
        <v>152</v>
      </c>
      <c r="H500" s="3">
        <v>42</v>
      </c>
      <c r="I500" s="3" t="s">
        <v>32</v>
      </c>
      <c r="J500" s="3" t="s">
        <v>27</v>
      </c>
      <c r="K500" s="3" t="s">
        <v>47</v>
      </c>
      <c r="L500" s="3" t="s">
        <v>48</v>
      </c>
      <c r="M500" s="3">
        <v>990.17</v>
      </c>
      <c r="N500" s="3">
        <v>3</v>
      </c>
      <c r="O500" s="3">
        <v>10</v>
      </c>
      <c r="P500" s="3" t="s">
        <v>653</v>
      </c>
      <c r="Q500" s="3">
        <v>5</v>
      </c>
      <c r="R500" s="3">
        <v>8</v>
      </c>
      <c r="S500" s="3">
        <v>2673.4589999999998</v>
      </c>
    </row>
    <row r="501" spans="1:19" x14ac:dyDescent="0.35">
      <c r="A501" s="3" t="s">
        <v>641</v>
      </c>
      <c r="B501" s="3">
        <v>1499</v>
      </c>
      <c r="C501">
        <v>1</v>
      </c>
      <c r="D501">
        <v>12</v>
      </c>
      <c r="E501">
        <v>2024</v>
      </c>
      <c r="F501" s="4">
        <f t="shared" si="7"/>
        <v>45627</v>
      </c>
      <c r="G501" s="3" t="s">
        <v>186</v>
      </c>
      <c r="H501" s="3">
        <v>35</v>
      </c>
      <c r="I501" s="3" t="s">
        <v>20</v>
      </c>
      <c r="J501" s="3" t="s">
        <v>33</v>
      </c>
      <c r="K501" s="3" t="s">
        <v>34</v>
      </c>
      <c r="L501" s="3" t="s">
        <v>96</v>
      </c>
      <c r="M501" s="3">
        <v>1023.41</v>
      </c>
      <c r="N501" s="3">
        <v>3</v>
      </c>
      <c r="O501" s="3">
        <v>5</v>
      </c>
      <c r="P501" s="3" t="s">
        <v>653</v>
      </c>
      <c r="Q501" s="3"/>
      <c r="R501" s="3">
        <v>8</v>
      </c>
      <c r="S501" s="3">
        <v>2916.7184999999999</v>
      </c>
    </row>
  </sheetData>
  <dataValidations count="3">
    <dataValidation type="whole" operator="greaterThan" allowBlank="1" showInputMessage="1" showErrorMessage="1" sqref="N1:N1048576" xr:uid="{EAEC4489-6973-49E2-B8F8-C9F3522B67B6}">
      <formula1>0</formula1>
    </dataValidation>
    <dataValidation type="list" allowBlank="1" showInputMessage="1" showErrorMessage="1" sqref="I1:I1048576" xr:uid="{D558A9F9-8C06-48C3-A3EA-CF7B6F49F298}">
      <formula1>"Male, Female"</formula1>
    </dataValidation>
    <dataValidation type="list" allowBlank="1" showInputMessage="1" showErrorMessage="1" sqref="K1:K1048576" xr:uid="{0332B7B3-6A19-4AC5-A1F4-C4FD04DE1802}">
      <formula1>"Beauty, Sports, Fashion, Home, Electronics"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E6540-422B-4F7F-8AFA-756E0C807313}">
  <dimension ref="A1:E61"/>
  <sheetViews>
    <sheetView workbookViewId="0">
      <selection activeCell="F10" sqref="F10"/>
    </sheetView>
  </sheetViews>
  <sheetFormatPr defaultRowHeight="14.5" x14ac:dyDescent="0.35"/>
  <cols>
    <col min="1" max="2" width="12.453125" bestFit="1" customWidth="1"/>
    <col min="3" max="3" width="14.26953125" bestFit="1" customWidth="1"/>
    <col min="4" max="4" width="16.54296875" bestFit="1" customWidth="1"/>
    <col min="5" max="6" width="23.36328125" bestFit="1" customWidth="1"/>
  </cols>
  <sheetData>
    <row r="1" spans="2:5" x14ac:dyDescent="0.35">
      <c r="C1" s="5" t="s">
        <v>656</v>
      </c>
      <c r="D1" s="5" t="s">
        <v>657</v>
      </c>
      <c r="E1" s="6"/>
    </row>
    <row r="2" spans="2:5" x14ac:dyDescent="0.35">
      <c r="C2">
        <v>139533.29800000001</v>
      </c>
      <c r="D2">
        <v>542.93100000000004</v>
      </c>
    </row>
    <row r="4" spans="2:5" x14ac:dyDescent="0.35">
      <c r="B4" s="9" t="s">
        <v>658</v>
      </c>
      <c r="C4" s="9" t="s">
        <v>659</v>
      </c>
      <c r="D4" t="s">
        <v>660</v>
      </c>
      <c r="E4" t="s">
        <v>661</v>
      </c>
    </row>
    <row r="5" spans="2:5" x14ac:dyDescent="0.35">
      <c r="B5" s="7" t="s">
        <v>662</v>
      </c>
      <c r="C5">
        <v>16</v>
      </c>
      <c r="D5">
        <v>9219.1304999999993</v>
      </c>
      <c r="E5" s="8">
        <v>576.19565624999996</v>
      </c>
    </row>
    <row r="6" spans="2:5" x14ac:dyDescent="0.35">
      <c r="B6" s="7" t="s">
        <v>663</v>
      </c>
      <c r="C6">
        <v>36</v>
      </c>
      <c r="D6">
        <v>18126.701000000001</v>
      </c>
      <c r="E6" s="8">
        <v>503.51947222222225</v>
      </c>
    </row>
    <row r="7" spans="2:5" x14ac:dyDescent="0.35">
      <c r="B7" s="7" t="s">
        <v>664</v>
      </c>
      <c r="C7">
        <v>20</v>
      </c>
      <c r="D7">
        <v>14335.538</v>
      </c>
      <c r="E7" s="8">
        <v>716.77690000000007</v>
      </c>
    </row>
    <row r="8" spans="2:5" x14ac:dyDescent="0.35">
      <c r="B8" s="7" t="s">
        <v>665</v>
      </c>
      <c r="C8">
        <v>36</v>
      </c>
      <c r="D8">
        <v>16894.151000000002</v>
      </c>
      <c r="E8" s="8">
        <v>469.28197222222229</v>
      </c>
    </row>
    <row r="9" spans="2:5" x14ac:dyDescent="0.35">
      <c r="B9" s="7" t="s">
        <v>666</v>
      </c>
      <c r="C9">
        <v>14</v>
      </c>
      <c r="D9">
        <v>10797.753999999999</v>
      </c>
      <c r="E9" s="8">
        <v>771.26814285714283</v>
      </c>
    </row>
    <row r="10" spans="2:5" x14ac:dyDescent="0.35">
      <c r="B10" s="7" t="s">
        <v>667</v>
      </c>
      <c r="C10">
        <v>24</v>
      </c>
      <c r="D10">
        <v>15328.462499999998</v>
      </c>
      <c r="E10" s="8">
        <v>638.68593749999991</v>
      </c>
    </row>
    <row r="11" spans="2:5" x14ac:dyDescent="0.35">
      <c r="B11" s="7" t="s">
        <v>668</v>
      </c>
      <c r="C11">
        <v>24</v>
      </c>
      <c r="D11">
        <v>17348.677</v>
      </c>
      <c r="E11" s="8">
        <v>722.86154166666665</v>
      </c>
    </row>
    <row r="12" spans="2:5" x14ac:dyDescent="0.35">
      <c r="B12" s="7" t="s">
        <v>669</v>
      </c>
      <c r="C12">
        <v>18</v>
      </c>
      <c r="D12">
        <v>12937.035000000002</v>
      </c>
      <c r="E12" s="8">
        <v>718.72416666666675</v>
      </c>
    </row>
    <row r="13" spans="2:5" x14ac:dyDescent="0.35">
      <c r="B13" s="7" t="s">
        <v>670</v>
      </c>
      <c r="C13">
        <v>19</v>
      </c>
      <c r="D13">
        <v>11929.949000000001</v>
      </c>
      <c r="E13" s="8">
        <v>627.89205263157896</v>
      </c>
    </row>
    <row r="14" spans="2:5" x14ac:dyDescent="0.35">
      <c r="B14" s="7" t="s">
        <v>671</v>
      </c>
      <c r="C14">
        <v>34</v>
      </c>
      <c r="D14">
        <v>11334.579</v>
      </c>
      <c r="E14" s="8">
        <v>333.36997058823528</v>
      </c>
    </row>
    <row r="15" spans="2:5" x14ac:dyDescent="0.35">
      <c r="B15" s="7" t="s">
        <v>672</v>
      </c>
      <c r="C15">
        <v>29</v>
      </c>
      <c r="D15">
        <v>14616.981</v>
      </c>
      <c r="E15" s="8">
        <v>504.03382758620688</v>
      </c>
    </row>
    <row r="16" spans="2:5" x14ac:dyDescent="0.35">
      <c r="B16" s="7" t="s">
        <v>673</v>
      </c>
      <c r="C16">
        <v>17</v>
      </c>
      <c r="D16">
        <v>13019.824000000001</v>
      </c>
      <c r="E16" s="8">
        <v>765.87200000000007</v>
      </c>
    </row>
    <row r="17" spans="2:5" x14ac:dyDescent="0.35">
      <c r="B17" s="7" t="s">
        <v>674</v>
      </c>
      <c r="C17">
        <v>287</v>
      </c>
      <c r="D17">
        <v>165888.78199999998</v>
      </c>
      <c r="E17" s="8">
        <v>578.0096933797912</v>
      </c>
    </row>
    <row r="37" spans="3:4" x14ac:dyDescent="0.35">
      <c r="C37" s="9" t="s">
        <v>658</v>
      </c>
      <c r="D37" t="s">
        <v>660</v>
      </c>
    </row>
    <row r="38" spans="3:4" x14ac:dyDescent="0.35">
      <c r="C38" s="7" t="s">
        <v>34</v>
      </c>
      <c r="D38">
        <v>147252.48549999995</v>
      </c>
    </row>
    <row r="39" spans="3:4" x14ac:dyDescent="0.35">
      <c r="C39" s="7" t="s">
        <v>22</v>
      </c>
      <c r="D39">
        <v>138906.39750000002</v>
      </c>
    </row>
    <row r="40" spans="3:4" x14ac:dyDescent="0.35">
      <c r="C40" s="7" t="s">
        <v>38</v>
      </c>
      <c r="D40">
        <v>139533.29799999998</v>
      </c>
    </row>
    <row r="41" spans="3:4" x14ac:dyDescent="0.35">
      <c r="C41" s="7" t="s">
        <v>41</v>
      </c>
      <c r="D41">
        <v>84891.953999999969</v>
      </c>
    </row>
    <row r="42" spans="3:4" x14ac:dyDescent="0.35">
      <c r="C42" s="7" t="s">
        <v>47</v>
      </c>
      <c r="D42">
        <v>165888.78200000004</v>
      </c>
    </row>
    <row r="43" spans="3:4" x14ac:dyDescent="0.35">
      <c r="C43" s="7" t="s">
        <v>674</v>
      </c>
      <c r="D43">
        <v>676472.91700000002</v>
      </c>
    </row>
    <row r="55" spans="1:4" x14ac:dyDescent="0.35">
      <c r="A55" s="9" t="s">
        <v>658</v>
      </c>
      <c r="B55" s="9" t="s">
        <v>675</v>
      </c>
      <c r="C55" t="s">
        <v>659</v>
      </c>
      <c r="D55" t="s">
        <v>660</v>
      </c>
    </row>
    <row r="56" spans="1:4" x14ac:dyDescent="0.35">
      <c r="A56" s="7" t="s">
        <v>34</v>
      </c>
      <c r="B56" s="8">
        <v>2.8837209302325579</v>
      </c>
      <c r="C56">
        <v>274</v>
      </c>
      <c r="D56">
        <v>147252.48549999995</v>
      </c>
    </row>
    <row r="57" spans="1:4" x14ac:dyDescent="0.35">
      <c r="A57" s="7" t="s">
        <v>22</v>
      </c>
      <c r="B57" s="8">
        <v>3.2048192771084336</v>
      </c>
      <c r="C57">
        <v>252</v>
      </c>
      <c r="D57">
        <v>138906.39750000002</v>
      </c>
    </row>
    <row r="58" spans="1:4" x14ac:dyDescent="0.35">
      <c r="A58" s="7" t="s">
        <v>38</v>
      </c>
      <c r="B58" s="8">
        <v>3.0789473684210527</v>
      </c>
      <c r="C58">
        <v>257</v>
      </c>
      <c r="D58">
        <v>139533.29799999998</v>
      </c>
    </row>
    <row r="59" spans="1:4" x14ac:dyDescent="0.35">
      <c r="A59" s="7" t="s">
        <v>41</v>
      </c>
      <c r="B59" s="8">
        <v>3.3015873015873014</v>
      </c>
      <c r="C59">
        <v>170</v>
      </c>
      <c r="D59">
        <v>84891.953999999969</v>
      </c>
    </row>
    <row r="60" spans="1:4" x14ac:dyDescent="0.35">
      <c r="A60" s="7" t="s">
        <v>47</v>
      </c>
      <c r="B60" s="8">
        <v>2.7647058823529411</v>
      </c>
      <c r="C60">
        <v>287</v>
      </c>
      <c r="D60">
        <v>165888.78200000004</v>
      </c>
    </row>
    <row r="61" spans="1:4" x14ac:dyDescent="0.35">
      <c r="A61" s="7" t="s">
        <v>674</v>
      </c>
      <c r="B61" s="8">
        <v>3.0305343511450382</v>
      </c>
      <c r="C61">
        <v>1240</v>
      </c>
      <c r="D61">
        <v>676472.91699999978</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F4D0F-EBBC-42AE-A74C-857B767DBAA5}">
  <dimension ref="A1:I71"/>
  <sheetViews>
    <sheetView topLeftCell="A57" workbookViewId="0">
      <selection activeCell="F7" sqref="F7"/>
    </sheetView>
  </sheetViews>
  <sheetFormatPr defaultRowHeight="14.5" x14ac:dyDescent="0.35"/>
  <cols>
    <col min="1" max="1" width="31.1796875" bestFit="1" customWidth="1"/>
    <col min="2" max="2" width="12.453125" bestFit="1" customWidth="1"/>
    <col min="3" max="3" width="13" bestFit="1" customWidth="1"/>
    <col min="5" max="5" width="11.81640625" bestFit="1" customWidth="1"/>
    <col min="6" max="6" width="12.7265625" bestFit="1" customWidth="1"/>
    <col min="7" max="7" width="11.81640625" bestFit="1" customWidth="1"/>
    <col min="8" max="8" width="12.453125" bestFit="1" customWidth="1"/>
    <col min="9" max="9" width="12" bestFit="1" customWidth="1"/>
  </cols>
  <sheetData>
    <row r="1" spans="1:5" x14ac:dyDescent="0.35">
      <c r="A1" t="s">
        <v>676</v>
      </c>
      <c r="B1" t="s">
        <v>14</v>
      </c>
      <c r="C1" t="s">
        <v>677</v>
      </c>
      <c r="D1" t="s">
        <v>9</v>
      </c>
      <c r="E1" t="s">
        <v>10</v>
      </c>
    </row>
    <row r="2" spans="1:5" x14ac:dyDescent="0.35">
      <c r="A2" t="s">
        <v>678</v>
      </c>
      <c r="B2">
        <f>AVERAGE('[1]Data Cleaning'!S2:S501)</f>
        <v>1352.945834000001</v>
      </c>
      <c r="C2">
        <f>AVERAGE('[1]Data Cleaning'!M2:M501)</f>
        <v>608.19273999999973</v>
      </c>
      <c r="D2">
        <f>AVERAGE('[1]Data Cleaning'!N2:N501)</f>
        <v>2.48</v>
      </c>
      <c r="E2">
        <f>AVERAGE('[1]Data Cleaning'!O2:O501)</f>
        <v>9.3699999999999992</v>
      </c>
    </row>
    <row r="3" spans="1:5" x14ac:dyDescent="0.35">
      <c r="A3" t="s">
        <v>679</v>
      </c>
      <c r="B3">
        <f>MEDIAN('[1]Data Cleaning'!S2:S501)</f>
        <v>1060.5920000000001</v>
      </c>
      <c r="C3">
        <f>MEDIAN('[1]Data Cleaning'!M2:M501)</f>
        <v>604.40000000000009</v>
      </c>
      <c r="D3">
        <f>MEDIAN('[1]Data Cleaning'!N2:N501)</f>
        <v>2</v>
      </c>
      <c r="E3">
        <f>MEDIAN('[1]Data Cleaning'!O2:O501)</f>
        <v>10</v>
      </c>
    </row>
    <row r="4" spans="1:5" x14ac:dyDescent="0.35">
      <c r="A4" t="s">
        <v>680</v>
      </c>
      <c r="B4" t="e">
        <f>MODE('[1]Data Cleaning'!S2:S501)</f>
        <v>#N/A</v>
      </c>
      <c r="C4" t="e">
        <f>MODE('[1]Data Cleaning'!M2:M501)</f>
        <v>#N/A</v>
      </c>
      <c r="D4">
        <f>MODE('[1]Data Cleaning'!N2:N501)</f>
        <v>1</v>
      </c>
      <c r="E4">
        <f>MODE('[1]Data Cleaning'!O2:O501)</f>
        <v>0</v>
      </c>
    </row>
    <row r="5" spans="1:5" x14ac:dyDescent="0.35">
      <c r="A5" t="s">
        <v>681</v>
      </c>
      <c r="B5">
        <f>STDEV('[1]Data Cleaning'!S2:S501)</f>
        <v>1059.3632060654975</v>
      </c>
      <c r="C5">
        <f>STDEV('[1]Data Cleaning'!M2:M501)</f>
        <v>339.37312353373943</v>
      </c>
      <c r="D5">
        <f>STDEV('[1]Data Cleaning'!N2:N501)</f>
        <v>1.1472717485102908</v>
      </c>
      <c r="E5">
        <f>STDEV('[1]Data Cleaning'!O2:O501)</f>
        <v>7.1942069212980604</v>
      </c>
    </row>
    <row r="6" spans="1:5" x14ac:dyDescent="0.35">
      <c r="A6" t="s">
        <v>682</v>
      </c>
      <c r="B6">
        <f>VAR('[1]Data Cleaning'!S2:S501)</f>
        <v>1122250.4023653695</v>
      </c>
      <c r="C6">
        <f>VAR('[1]Data Cleaning'!M2:M501)</f>
        <v>115174.11697704675</v>
      </c>
      <c r="D6">
        <f>VAR('[1]Data Cleaning'!N2:N501)</f>
        <v>1.31623246492986</v>
      </c>
      <c r="E6">
        <f>VAR('[1]Data Cleaning'!O2:O501)</f>
        <v>51.756613226452913</v>
      </c>
    </row>
    <row r="10" spans="1:5" x14ac:dyDescent="0.35">
      <c r="A10" t="s">
        <v>683</v>
      </c>
      <c r="B10">
        <f>CORREL('[1]Data Cleaning'!S2:S501,'[1]Data Cleaning'!M2:M501)</f>
        <v>0.71526515235131338</v>
      </c>
    </row>
    <row r="11" spans="1:5" x14ac:dyDescent="0.35">
      <c r="A11" t="s">
        <v>684</v>
      </c>
      <c r="B11">
        <f>_xlfn.COVARIANCE.P('[1]Data Cleaning'!S2:S501,'[1]Data Cleaning'!M2:M501)</f>
        <v>256637.39515959477</v>
      </c>
    </row>
    <row r="16" spans="1:5" x14ac:dyDescent="0.35">
      <c r="A16" t="s">
        <v>685</v>
      </c>
    </row>
    <row r="17" spans="1:9" ht="15" thickBot="1" x14ac:dyDescent="0.4"/>
    <row r="18" spans="1:9" x14ac:dyDescent="0.35">
      <c r="A18" s="10" t="s">
        <v>686</v>
      </c>
      <c r="B18" s="10"/>
    </row>
    <row r="19" spans="1:9" x14ac:dyDescent="0.35">
      <c r="A19" t="s">
        <v>687</v>
      </c>
      <c r="B19">
        <v>0.71526515235131316</v>
      </c>
    </row>
    <row r="20" spans="1:9" x14ac:dyDescent="0.35">
      <c r="A20" t="s">
        <v>688</v>
      </c>
      <c r="B20">
        <v>0.51160423816814715</v>
      </c>
    </row>
    <row r="21" spans="1:9" x14ac:dyDescent="0.35">
      <c r="A21" t="s">
        <v>689</v>
      </c>
      <c r="B21">
        <v>0.51062352378695863</v>
      </c>
    </row>
    <row r="22" spans="1:9" x14ac:dyDescent="0.35">
      <c r="A22" t="s">
        <v>690</v>
      </c>
      <c r="B22">
        <v>741.08228108505841</v>
      </c>
    </row>
    <row r="23" spans="1:9" ht="15" thickBot="1" x14ac:dyDescent="0.4">
      <c r="A23" s="11" t="s">
        <v>691</v>
      </c>
      <c r="B23" s="11">
        <v>500</v>
      </c>
    </row>
    <row r="25" spans="1:9" ht="15" thickBot="1" x14ac:dyDescent="0.4">
      <c r="A25" t="s">
        <v>692</v>
      </c>
    </row>
    <row r="26" spans="1:9" x14ac:dyDescent="0.35">
      <c r="A26" s="12"/>
      <c r="B26" s="12" t="s">
        <v>693</v>
      </c>
      <c r="C26" s="12" t="s">
        <v>694</v>
      </c>
      <c r="D26" s="12" t="s">
        <v>695</v>
      </c>
      <c r="E26" s="12" t="s">
        <v>696</v>
      </c>
      <c r="F26" s="12" t="s">
        <v>697</v>
      </c>
    </row>
    <row r="27" spans="1:9" x14ac:dyDescent="0.35">
      <c r="A27" t="s">
        <v>698</v>
      </c>
      <c r="B27">
        <v>1</v>
      </c>
      <c r="C27">
        <v>286499883.00588036</v>
      </c>
      <c r="D27">
        <v>286499883.00588036</v>
      </c>
      <c r="E27">
        <v>521.66486795897663</v>
      </c>
      <c r="F27">
        <v>1.5922629268048197E-79</v>
      </c>
    </row>
    <row r="28" spans="1:9" x14ac:dyDescent="0.35">
      <c r="A28" t="s">
        <v>699</v>
      </c>
      <c r="B28">
        <v>498</v>
      </c>
      <c r="C28">
        <v>273503067.77444029</v>
      </c>
      <c r="D28">
        <v>549202.94733823347</v>
      </c>
    </row>
    <row r="29" spans="1:9" ht="15" thickBot="1" x14ac:dyDescent="0.4">
      <c r="A29" s="11" t="s">
        <v>700</v>
      </c>
      <c r="B29" s="11">
        <v>499</v>
      </c>
      <c r="C29" s="11">
        <v>560002950.78032064</v>
      </c>
      <c r="D29" s="11"/>
      <c r="E29" s="11"/>
      <c r="F29" s="11"/>
    </row>
    <row r="30" spans="1:9" ht="15" thickBot="1" x14ac:dyDescent="0.4"/>
    <row r="31" spans="1:9" x14ac:dyDescent="0.35">
      <c r="A31" s="12"/>
      <c r="B31" s="12" t="s">
        <v>701</v>
      </c>
      <c r="C31" s="12" t="s">
        <v>690</v>
      </c>
      <c r="D31" s="12" t="s">
        <v>702</v>
      </c>
      <c r="E31" s="12" t="s">
        <v>703</v>
      </c>
      <c r="F31" s="12" t="s">
        <v>704</v>
      </c>
      <c r="G31" s="12" t="s">
        <v>705</v>
      </c>
      <c r="H31" s="12" t="s">
        <v>706</v>
      </c>
      <c r="I31" s="12" t="s">
        <v>707</v>
      </c>
    </row>
    <row r="32" spans="1:9" x14ac:dyDescent="0.35">
      <c r="A32" t="s">
        <v>708</v>
      </c>
      <c r="B32">
        <v>-4.9790213911405772</v>
      </c>
      <c r="C32">
        <v>68.067360161700179</v>
      </c>
      <c r="D32">
        <v>-7.3148442650228546E-2</v>
      </c>
      <c r="E32">
        <v>0.94171736307332532</v>
      </c>
      <c r="F32">
        <v>-138.71361736850764</v>
      </c>
      <c r="G32">
        <v>128.75557458622649</v>
      </c>
      <c r="H32">
        <v>-138.71361736850764</v>
      </c>
      <c r="I32">
        <v>128.75557458622649</v>
      </c>
    </row>
    <row r="33" spans="1:9" ht="15" thickBot="1" x14ac:dyDescent="0.4">
      <c r="A33" s="11" t="s">
        <v>8</v>
      </c>
      <c r="B33" s="11">
        <v>2.2327212511467041</v>
      </c>
      <c r="C33" s="11">
        <v>9.7754939479460026E-2</v>
      </c>
      <c r="D33" s="11">
        <v>22.839983974577947</v>
      </c>
      <c r="E33" s="11">
        <v>1.5922629268045929E-79</v>
      </c>
      <c r="F33" s="11">
        <v>2.0406583107738006</v>
      </c>
      <c r="G33" s="11">
        <v>2.4247841915196076</v>
      </c>
      <c r="H33" s="11">
        <v>2.0406583107738006</v>
      </c>
      <c r="I33" s="11">
        <v>2.4247841915196076</v>
      </c>
    </row>
    <row r="38" spans="1:9" x14ac:dyDescent="0.35">
      <c r="A38" t="s">
        <v>709</v>
      </c>
    </row>
    <row r="39" spans="1:9" ht="15" thickBot="1" x14ac:dyDescent="0.4"/>
    <row r="40" spans="1:9" x14ac:dyDescent="0.35">
      <c r="A40" s="12"/>
      <c r="B40" s="12" t="s">
        <v>710</v>
      </c>
      <c r="C40" s="12" t="s">
        <v>711</v>
      </c>
    </row>
    <row r="41" spans="1:9" x14ac:dyDescent="0.35">
      <c r="A41" t="s">
        <v>678</v>
      </c>
      <c r="B41">
        <v>1381.1656863117869</v>
      </c>
      <c r="C41">
        <v>1321.6301329113919</v>
      </c>
    </row>
    <row r="42" spans="1:9" x14ac:dyDescent="0.35">
      <c r="A42" t="s">
        <v>682</v>
      </c>
      <c r="B42">
        <v>1237311.8073009609</v>
      </c>
      <c r="C42">
        <v>997395.74168470223</v>
      </c>
    </row>
    <row r="43" spans="1:9" x14ac:dyDescent="0.35">
      <c r="A43" t="s">
        <v>691</v>
      </c>
      <c r="B43">
        <v>263</v>
      </c>
      <c r="C43">
        <v>237</v>
      </c>
    </row>
    <row r="44" spans="1:9" x14ac:dyDescent="0.35">
      <c r="A44" t="s">
        <v>712</v>
      </c>
      <c r="B44">
        <v>0</v>
      </c>
    </row>
    <row r="45" spans="1:9" x14ac:dyDescent="0.35">
      <c r="A45" t="s">
        <v>693</v>
      </c>
      <c r="B45">
        <v>498</v>
      </c>
    </row>
    <row r="46" spans="1:9" x14ac:dyDescent="0.35">
      <c r="A46" t="s">
        <v>702</v>
      </c>
      <c r="B46">
        <v>0.63061420265623636</v>
      </c>
    </row>
    <row r="47" spans="1:9" x14ac:dyDescent="0.35">
      <c r="A47" t="s">
        <v>713</v>
      </c>
      <c r="B47">
        <v>0.26429104318414842</v>
      </c>
    </row>
    <row r="48" spans="1:9" x14ac:dyDescent="0.35">
      <c r="A48" t="s">
        <v>714</v>
      </c>
      <c r="B48">
        <v>1.6479191388550134</v>
      </c>
    </row>
    <row r="49" spans="1:5" x14ac:dyDescent="0.35">
      <c r="A49" t="s">
        <v>715</v>
      </c>
      <c r="B49">
        <v>0.52858208636829684</v>
      </c>
    </row>
    <row r="50" spans="1:5" ht="15" thickBot="1" x14ac:dyDescent="0.4">
      <c r="A50" s="11" t="s">
        <v>716</v>
      </c>
      <c r="B50" s="11">
        <v>1.9647389829672903</v>
      </c>
      <c r="C50" s="11"/>
    </row>
    <row r="55" spans="1:5" x14ac:dyDescent="0.35">
      <c r="A55" t="s">
        <v>717</v>
      </c>
    </row>
    <row r="57" spans="1:5" ht="15" thickBot="1" x14ac:dyDescent="0.4">
      <c r="A57" t="s">
        <v>718</v>
      </c>
    </row>
    <row r="58" spans="1:5" x14ac:dyDescent="0.35">
      <c r="A58" s="12" t="s">
        <v>719</v>
      </c>
      <c r="B58" s="12" t="s">
        <v>720</v>
      </c>
      <c r="C58" s="12" t="s">
        <v>721</v>
      </c>
      <c r="D58" s="12" t="s">
        <v>722</v>
      </c>
      <c r="E58" s="12" t="s">
        <v>682</v>
      </c>
    </row>
    <row r="59" spans="1:5" x14ac:dyDescent="0.35">
      <c r="A59" t="s">
        <v>648</v>
      </c>
      <c r="B59">
        <v>95</v>
      </c>
      <c r="C59">
        <v>138906.39750000002</v>
      </c>
      <c r="D59">
        <v>1462.1726052631582</v>
      </c>
      <c r="E59">
        <v>1151397.3931774891</v>
      </c>
    </row>
    <row r="60" spans="1:5" x14ac:dyDescent="0.35">
      <c r="A60" t="s">
        <v>649</v>
      </c>
      <c r="B60">
        <v>111</v>
      </c>
      <c r="C60">
        <v>147252.48549999995</v>
      </c>
      <c r="D60">
        <v>1326.598968468468</v>
      </c>
      <c r="E60">
        <v>1235693.2930997976</v>
      </c>
    </row>
    <row r="61" spans="1:5" x14ac:dyDescent="0.35">
      <c r="A61" t="s">
        <v>650</v>
      </c>
      <c r="B61">
        <v>105</v>
      </c>
      <c r="C61">
        <v>139533.29799999998</v>
      </c>
      <c r="D61">
        <v>1328.8885523809522</v>
      </c>
      <c r="E61">
        <v>952132.50265739462</v>
      </c>
    </row>
    <row r="62" spans="1:5" x14ac:dyDescent="0.35">
      <c r="A62" t="s">
        <v>651</v>
      </c>
      <c r="B62">
        <v>79</v>
      </c>
      <c r="C62">
        <v>84891.953999999969</v>
      </c>
      <c r="D62">
        <v>1074.5816962025312</v>
      </c>
      <c r="E62">
        <v>665898.89230435016</v>
      </c>
    </row>
    <row r="63" spans="1:5" ht="15" thickBot="1" x14ac:dyDescent="0.4">
      <c r="A63" s="11" t="s">
        <v>652</v>
      </c>
      <c r="B63" s="11">
        <v>110</v>
      </c>
      <c r="C63" s="11">
        <v>165888.78200000004</v>
      </c>
      <c r="D63" s="11">
        <v>1508.0798363636368</v>
      </c>
      <c r="E63" s="11">
        <v>1420582.2069721641</v>
      </c>
    </row>
    <row r="66" spans="1:7" ht="15" thickBot="1" x14ac:dyDescent="0.4">
      <c r="A66" t="s">
        <v>692</v>
      </c>
    </row>
    <row r="67" spans="1:7" x14ac:dyDescent="0.35">
      <c r="A67" s="12" t="s">
        <v>723</v>
      </c>
      <c r="B67" s="12" t="s">
        <v>694</v>
      </c>
      <c r="C67" s="12" t="s">
        <v>693</v>
      </c>
      <c r="D67" s="12" t="s">
        <v>695</v>
      </c>
      <c r="E67" s="12" t="s">
        <v>696</v>
      </c>
      <c r="F67" s="12" t="s">
        <v>703</v>
      </c>
      <c r="G67" s="12" t="s">
        <v>724</v>
      </c>
    </row>
    <row r="68" spans="1:7" x14ac:dyDescent="0.35">
      <c r="A68" t="s">
        <v>725</v>
      </c>
      <c r="B68">
        <v>10039979.144585013</v>
      </c>
      <c r="C68">
        <v>4</v>
      </c>
      <c r="D68">
        <v>2509994.7861462533</v>
      </c>
      <c r="E68">
        <v>2.2591474030461129</v>
      </c>
      <c r="F68">
        <v>6.1774352235097058E-2</v>
      </c>
      <c r="G68">
        <v>2.3899478444582041</v>
      </c>
    </row>
    <row r="69" spans="1:7" x14ac:dyDescent="0.35">
      <c r="A69" t="s">
        <v>726</v>
      </c>
      <c r="B69">
        <v>549962971.63573575</v>
      </c>
      <c r="C69">
        <v>495</v>
      </c>
      <c r="D69">
        <v>1111036.3063348196</v>
      </c>
    </row>
    <row r="71" spans="1:7" ht="15" thickBot="1" x14ac:dyDescent="0.4">
      <c r="A71" s="11" t="s">
        <v>700</v>
      </c>
      <c r="B71" s="11">
        <v>560002950.78032076</v>
      </c>
      <c r="C71" s="11">
        <v>499</v>
      </c>
      <c r="D71" s="11"/>
      <c r="E71" s="11"/>
      <c r="F71" s="11"/>
      <c r="G71"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27B38-7BFD-4662-AC7F-CEF4A0BF2E6F}">
  <dimension ref="A1:F53"/>
  <sheetViews>
    <sheetView tabSelected="1" topLeftCell="A10" workbookViewId="0">
      <selection activeCell="I21" sqref="I21"/>
    </sheetView>
  </sheetViews>
  <sheetFormatPr defaultRowHeight="14.5" x14ac:dyDescent="0.35"/>
  <cols>
    <col min="1" max="1" width="15.6328125" bestFit="1" customWidth="1"/>
    <col min="2" max="2" width="13.1796875" bestFit="1" customWidth="1"/>
    <col min="3" max="3" width="14.81640625" bestFit="1" customWidth="1"/>
    <col min="4" max="4" width="9.1796875" customWidth="1"/>
  </cols>
  <sheetData>
    <row r="1" spans="1:6" x14ac:dyDescent="0.35">
      <c r="A1" t="s">
        <v>727</v>
      </c>
      <c r="B1" s="13">
        <v>1600</v>
      </c>
    </row>
    <row r="2" spans="1:6" x14ac:dyDescent="0.35">
      <c r="A2" t="s">
        <v>9</v>
      </c>
      <c r="B2">
        <v>500</v>
      </c>
    </row>
    <row r="3" spans="1:6" x14ac:dyDescent="0.35">
      <c r="A3" t="s">
        <v>728</v>
      </c>
      <c r="B3" s="13">
        <v>700000</v>
      </c>
      <c r="C3" s="13"/>
    </row>
    <row r="4" spans="1:6" x14ac:dyDescent="0.35">
      <c r="A4" t="s">
        <v>729</v>
      </c>
      <c r="B4" s="13">
        <f>B1*B2</f>
        <v>800000</v>
      </c>
    </row>
    <row r="6" spans="1:6" x14ac:dyDescent="0.35">
      <c r="A6" t="s">
        <v>730</v>
      </c>
    </row>
    <row r="7" spans="1:6" ht="14.5" customHeight="1" x14ac:dyDescent="0.35">
      <c r="B7" s="14"/>
    </row>
    <row r="11" spans="1:6" x14ac:dyDescent="0.35">
      <c r="A11" t="s">
        <v>731</v>
      </c>
    </row>
    <row r="12" spans="1:6" x14ac:dyDescent="0.35">
      <c r="A12" s="15">
        <f>B1*B2</f>
        <v>800000</v>
      </c>
      <c r="B12">
        <v>300</v>
      </c>
      <c r="C12">
        <v>400</v>
      </c>
      <c r="D12">
        <v>500</v>
      </c>
      <c r="E12">
        <v>600</v>
      </c>
      <c r="F12">
        <v>700</v>
      </c>
    </row>
    <row r="13" spans="1:6" x14ac:dyDescent="0.35">
      <c r="A13">
        <v>100</v>
      </c>
      <c r="B13">
        <v>30000</v>
      </c>
      <c r="C13">
        <v>40000</v>
      </c>
      <c r="D13">
        <v>50000</v>
      </c>
      <c r="E13">
        <v>60000</v>
      </c>
      <c r="F13">
        <v>70000</v>
      </c>
    </row>
    <row r="14" spans="1:6" x14ac:dyDescent="0.35">
      <c r="A14">
        <v>200</v>
      </c>
      <c r="B14">
        <v>60000</v>
      </c>
      <c r="C14">
        <v>80000</v>
      </c>
      <c r="D14">
        <v>100000</v>
      </c>
      <c r="E14">
        <v>120000</v>
      </c>
      <c r="F14">
        <v>140000</v>
      </c>
    </row>
    <row r="15" spans="1:6" x14ac:dyDescent="0.35">
      <c r="A15">
        <v>300</v>
      </c>
      <c r="B15">
        <v>90000</v>
      </c>
      <c r="C15">
        <v>120000</v>
      </c>
      <c r="D15">
        <v>150000</v>
      </c>
      <c r="E15">
        <v>180000</v>
      </c>
      <c r="F15">
        <v>210000</v>
      </c>
    </row>
    <row r="16" spans="1:6" x14ac:dyDescent="0.35">
      <c r="A16">
        <v>400</v>
      </c>
      <c r="B16">
        <v>120000</v>
      </c>
      <c r="C16">
        <v>160000</v>
      </c>
      <c r="D16">
        <v>200000</v>
      </c>
      <c r="E16">
        <v>240000</v>
      </c>
      <c r="F16">
        <v>280000</v>
      </c>
    </row>
    <row r="17" spans="1:6" x14ac:dyDescent="0.35">
      <c r="A17">
        <v>500</v>
      </c>
      <c r="B17">
        <v>150000</v>
      </c>
      <c r="C17">
        <v>200000</v>
      </c>
      <c r="D17">
        <v>250000</v>
      </c>
      <c r="E17">
        <v>300000</v>
      </c>
      <c r="F17">
        <v>350000</v>
      </c>
    </row>
    <row r="22" spans="1:6" x14ac:dyDescent="0.35">
      <c r="A22" t="s">
        <v>732</v>
      </c>
    </row>
    <row r="23" spans="1:6" x14ac:dyDescent="0.35">
      <c r="A23" t="s">
        <v>733</v>
      </c>
      <c r="B23" t="s">
        <v>734</v>
      </c>
      <c r="C23" t="s">
        <v>735</v>
      </c>
    </row>
    <row r="24" spans="1:6" x14ac:dyDescent="0.35">
      <c r="A24" t="s">
        <v>662</v>
      </c>
      <c r="B24">
        <v>3252.058</v>
      </c>
      <c r="C24">
        <f>FORECAST(24,B$24:B$35,ROW(B$24:B$35))</f>
        <v>5096.3193333333329</v>
      </c>
    </row>
    <row r="25" spans="1:6" x14ac:dyDescent="0.35">
      <c r="A25" t="s">
        <v>663</v>
      </c>
      <c r="B25">
        <v>4519.4269999999997</v>
      </c>
      <c r="C25">
        <f>FORECAST(25,B$24:B$35,ROW(B$24:B$35))</f>
        <v>6283.8566969696985</v>
      </c>
    </row>
    <row r="26" spans="1:6" x14ac:dyDescent="0.35">
      <c r="A26" t="s">
        <v>664</v>
      </c>
      <c r="B26">
        <v>39.216000000000001</v>
      </c>
      <c r="C26">
        <f>FORECAST(26,B$24:B$35,ROW(B$24:B$35))</f>
        <v>7471.3940606060605</v>
      </c>
    </row>
    <row r="27" spans="1:6" x14ac:dyDescent="0.35">
      <c r="A27" t="s">
        <v>665</v>
      </c>
      <c r="B27">
        <v>12350.7675</v>
      </c>
      <c r="C27">
        <f>FORECAST(27,B$24:B$35,ROW(B$24:B$35))</f>
        <v>8658.9314242424261</v>
      </c>
    </row>
    <row r="28" spans="1:6" x14ac:dyDescent="0.35">
      <c r="A28" t="s">
        <v>666</v>
      </c>
      <c r="B28">
        <v>12071.539000000001</v>
      </c>
      <c r="C28">
        <f>FORECAST(28,B$24:B$35,ROW(B$24:B$35))</f>
        <v>9846.4687878787881</v>
      </c>
    </row>
    <row r="29" spans="1:6" x14ac:dyDescent="0.35">
      <c r="A29" t="s">
        <v>667</v>
      </c>
      <c r="B29">
        <v>20393.805</v>
      </c>
      <c r="C29">
        <f>FORECAST(29,B$24:B$35,ROW(B$24:B$35))</f>
        <v>11034.006151515154</v>
      </c>
    </row>
    <row r="30" spans="1:6" x14ac:dyDescent="0.35">
      <c r="A30" t="s">
        <v>668</v>
      </c>
      <c r="B30">
        <v>8022.37</v>
      </c>
      <c r="C30">
        <f>FORECAST(30,B$24:B$35,ROW(B$24:B$35))</f>
        <v>12221.543515151519</v>
      </c>
    </row>
    <row r="31" spans="1:6" x14ac:dyDescent="0.35">
      <c r="A31" t="s">
        <v>669</v>
      </c>
      <c r="B31">
        <v>19162.030999999999</v>
      </c>
      <c r="C31">
        <f>FORECAST(31,B$24:B$35,ROW(B$24:B$35))</f>
        <v>13409.080878787878</v>
      </c>
    </row>
    <row r="32" spans="1:6" x14ac:dyDescent="0.35">
      <c r="A32" t="s">
        <v>670</v>
      </c>
      <c r="B32">
        <v>16184.123</v>
      </c>
      <c r="C32">
        <f>FORECAST(32,B$24:B$35,ROW(B$24:B$35))</f>
        <v>14596.618242424243</v>
      </c>
    </row>
    <row r="33" spans="1:3" x14ac:dyDescent="0.35">
      <c r="A33" t="s">
        <v>671</v>
      </c>
      <c r="B33">
        <v>14967.769</v>
      </c>
      <c r="C33">
        <f>FORECAST(33,B$24:B$35,ROW(B$24:B$35))</f>
        <v>15784.155606060609</v>
      </c>
    </row>
    <row r="34" spans="1:3" x14ac:dyDescent="0.35">
      <c r="A34" t="s">
        <v>672</v>
      </c>
      <c r="B34">
        <v>15377.82</v>
      </c>
      <c r="C34">
        <f>FORECAST(34,B$24:B$35,ROW(B$24:B$35))</f>
        <v>16971.692969696967</v>
      </c>
    </row>
    <row r="35" spans="1:3" x14ac:dyDescent="0.35">
      <c r="A35" t="s">
        <v>673</v>
      </c>
      <c r="B35">
        <v>13192.372499999999</v>
      </c>
      <c r="C35">
        <f>FORECAST(35,B$24:B$35,ROW(B$24:B$35))</f>
        <v>18159.230333333333</v>
      </c>
    </row>
    <row r="36" spans="1:3" x14ac:dyDescent="0.35">
      <c r="A36" t="s">
        <v>736</v>
      </c>
      <c r="C36">
        <f>FORECAST(36,B$24:B$35,ROW(B$24:B$35))</f>
        <v>19346.767696969699</v>
      </c>
    </row>
    <row r="37" spans="1:3" x14ac:dyDescent="0.35">
      <c r="A37" t="s">
        <v>737</v>
      </c>
      <c r="C37">
        <f>FORECAST(37,B$24:B$35,ROW(B$24:B$35))</f>
        <v>20534.305060606064</v>
      </c>
    </row>
    <row r="42" spans="1:3" x14ac:dyDescent="0.35">
      <c r="A42" t="s">
        <v>738</v>
      </c>
    </row>
    <row r="43" spans="1:3" x14ac:dyDescent="0.35">
      <c r="A43" t="s">
        <v>739</v>
      </c>
      <c r="B43" t="s">
        <v>740</v>
      </c>
      <c r="C43" t="s">
        <v>741</v>
      </c>
    </row>
    <row r="44" spans="1:3" x14ac:dyDescent="0.35">
      <c r="A44">
        <v>1</v>
      </c>
      <c r="B44">
        <f ca="1">RAND()</f>
        <v>0.78746317344908434</v>
      </c>
      <c r="C44">
        <f ca="1">B$24*(1+B44-0.5)</f>
        <v>4186.9049129204823</v>
      </c>
    </row>
    <row r="45" spans="1:3" x14ac:dyDescent="0.35">
      <c r="A45">
        <v>2</v>
      </c>
      <c r="B45">
        <f t="shared" ref="B45:B53" ca="1" si="0">RAND()</f>
        <v>0.61117474183298581</v>
      </c>
      <c r="C45">
        <f t="shared" ref="C45:C53" ca="1" si="1">B$24*(1+B45-0.5)</f>
        <v>3613.604708575896</v>
      </c>
    </row>
    <row r="46" spans="1:3" x14ac:dyDescent="0.35">
      <c r="A46">
        <v>3</v>
      </c>
      <c r="B46">
        <f t="shared" ca="1" si="0"/>
        <v>0.10336776763578437</v>
      </c>
      <c r="C46">
        <f t="shared" ca="1" si="1"/>
        <v>1962.1869756820934</v>
      </c>
    </row>
    <row r="47" spans="1:3" x14ac:dyDescent="0.35">
      <c r="A47">
        <v>4</v>
      </c>
      <c r="B47">
        <f t="shared" ca="1" si="0"/>
        <v>0.70119721175232297</v>
      </c>
      <c r="C47">
        <f t="shared" ca="1" si="1"/>
        <v>3906.3630020568357</v>
      </c>
    </row>
    <row r="48" spans="1:3" x14ac:dyDescent="0.35">
      <c r="A48">
        <v>5</v>
      </c>
      <c r="B48">
        <f t="shared" ca="1" si="0"/>
        <v>0.30558395057522225</v>
      </c>
      <c r="C48">
        <f t="shared" ca="1" si="1"/>
        <v>2619.8057311397561</v>
      </c>
    </row>
    <row r="49" spans="1:3" x14ac:dyDescent="0.35">
      <c r="A49">
        <v>6</v>
      </c>
      <c r="B49">
        <f t="shared" ca="1" si="0"/>
        <v>1.0464936660468771E-2</v>
      </c>
      <c r="C49">
        <f t="shared" ca="1" si="1"/>
        <v>1660.0615809861708</v>
      </c>
    </row>
    <row r="50" spans="1:3" x14ac:dyDescent="0.35">
      <c r="A50">
        <v>7</v>
      </c>
      <c r="B50">
        <f t="shared" ca="1" si="0"/>
        <v>0.2839951746364876</v>
      </c>
      <c r="C50">
        <f t="shared" ca="1" si="1"/>
        <v>2549.5977796379862</v>
      </c>
    </row>
    <row r="51" spans="1:3" x14ac:dyDescent="0.35">
      <c r="A51">
        <v>8</v>
      </c>
      <c r="B51">
        <f t="shared" ca="1" si="0"/>
        <v>0.67026882722292835</v>
      </c>
      <c r="C51">
        <f t="shared" ca="1" si="1"/>
        <v>3805.7821017209421</v>
      </c>
    </row>
    <row r="52" spans="1:3" x14ac:dyDescent="0.35">
      <c r="A52">
        <v>9</v>
      </c>
      <c r="B52">
        <f t="shared" ca="1" si="0"/>
        <v>0.86687456527689177</v>
      </c>
      <c r="C52">
        <f t="shared" ca="1" si="1"/>
        <v>4445.1553650052374</v>
      </c>
    </row>
    <row r="53" spans="1:3" x14ac:dyDescent="0.35">
      <c r="A53">
        <v>10</v>
      </c>
      <c r="B53">
        <f t="shared" ca="1" si="0"/>
        <v>0.46542576846489125</v>
      </c>
      <c r="C53">
        <f t="shared" ca="1" si="1"/>
        <v>3139.6205937423974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e-commerce sales data</vt:lpstr>
      <vt:lpstr>data cleaning</vt:lpstr>
      <vt:lpstr>sales dashboard</vt:lpstr>
      <vt:lpstr>statistical analysis</vt:lpstr>
      <vt:lpstr>scenario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Jemima Agyeiwaa Obeng-Amoako</dc:creator>
  <cp:lastModifiedBy>Jemima Agyeiwaa Obeng-Amoako</cp:lastModifiedBy>
  <dcterms:created xsi:type="dcterms:W3CDTF">2026-05-19T19:11:20Z</dcterms:created>
  <dcterms:modified xsi:type="dcterms:W3CDTF">2026-05-19T19:21:39Z</dcterms:modified>
</cp:coreProperties>
</file>